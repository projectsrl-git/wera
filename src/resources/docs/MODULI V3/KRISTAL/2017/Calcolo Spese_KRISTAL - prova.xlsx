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IRBI\MODULI IMPORT\MODULI V3\KRISTAL\2017\"/>
    </mc:Choice>
  </mc:AlternateContent>
  <bookViews>
    <workbookView minimized="1" xWindow="240" yWindow="255" windowWidth="16275" windowHeight="7815" tabRatio="797" activeTab="2"/>
  </bookViews>
  <sheets>
    <sheet name="Dati generali" sheetId="1" r:id="rId1"/>
    <sheet name="Vettori energetici" sheetId="2" r:id="rId2"/>
    <sheet name="Generatore" sheetId="3" r:id="rId3"/>
    <sheet name="Letture-mill. u.i." sheetId="4" r:id="rId4"/>
    <sheet name="Consumi vet energ." sheetId="5" r:id="rId5"/>
    <sheet name="Spese e costi unitari" sheetId="6" r:id="rId6"/>
    <sheet name="Ripart. u.i." sheetId="7" r:id="rId7"/>
    <sheet name="Consumo e spesa" sheetId="8" r:id="rId8"/>
    <sheet name="Spese u.i." sheetId="9" r:id="rId9"/>
    <sheet name="Foglio2" sheetId="11" r:id="rId10"/>
  </sheets>
  <calcPr calcId="152511"/>
</workbook>
</file>

<file path=xl/calcChain.xml><?xml version="1.0" encoding="utf-8"?>
<calcChain xmlns="http://schemas.openxmlformats.org/spreadsheetml/2006/main">
  <c r="Q21" i="8" l="1"/>
  <c r="J47" i="11"/>
  <c r="J46" i="11"/>
  <c r="J45" i="11"/>
  <c r="J44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I47" i="11"/>
  <c r="I46" i="11"/>
  <c r="I45" i="11"/>
  <c r="I44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1" i="11"/>
  <c r="F20" i="11"/>
  <c r="F19" i="11"/>
  <c r="F18" i="11"/>
  <c r="F17" i="11"/>
  <c r="F16" i="11"/>
  <c r="F15" i="11"/>
  <c r="F14" i="11"/>
  <c r="F13" i="11"/>
  <c r="F22" i="11"/>
  <c r="F12" i="11"/>
  <c r="F11" i="11"/>
  <c r="F10" i="11"/>
  <c r="F9" i="11"/>
  <c r="F8" i="11"/>
  <c r="F7" i="11"/>
  <c r="F6" i="11"/>
  <c r="F5" i="11"/>
  <c r="F4" i="11"/>
  <c r="F3" i="11"/>
  <c r="O7" i="8"/>
  <c r="G49" i="11"/>
  <c r="H49" i="11"/>
  <c r="B49" i="11"/>
  <c r="F49" i="11" l="1"/>
  <c r="N11" i="3" l="1"/>
  <c r="J4" i="2"/>
  <c r="J5" i="2"/>
  <c r="M49" i="7" l="1"/>
  <c r="L49" i="7"/>
  <c r="F6" i="6" l="1"/>
  <c r="F5" i="6"/>
  <c r="F4" i="5"/>
  <c r="F3" i="5"/>
  <c r="F5" i="5" s="1"/>
  <c r="J12" i="2" l="1"/>
  <c r="F10" i="5" s="1"/>
  <c r="J11" i="2"/>
  <c r="F9" i="5" s="1"/>
  <c r="M7" i="3"/>
  <c r="F10" i="3" l="1"/>
  <c r="F4" i="3"/>
  <c r="F119" i="7"/>
  <c r="F118" i="7"/>
  <c r="F117" i="7"/>
  <c r="F116" i="7"/>
  <c r="F115" i="7"/>
  <c r="F114" i="7"/>
  <c r="F113" i="7"/>
  <c r="F112" i="7"/>
  <c r="F111" i="7"/>
  <c r="F107" i="7"/>
  <c r="F106" i="7"/>
  <c r="F105" i="7"/>
  <c r="F104" i="7"/>
  <c r="F103" i="7"/>
  <c r="F102" i="7"/>
  <c r="F101" i="7"/>
  <c r="F100" i="7"/>
  <c r="F96" i="7"/>
  <c r="F95" i="7"/>
  <c r="F94" i="7"/>
  <c r="F93" i="7"/>
  <c r="F92" i="7"/>
  <c r="F91" i="7"/>
  <c r="F90" i="7"/>
  <c r="F89" i="7"/>
  <c r="F88" i="7"/>
  <c r="F87" i="7"/>
  <c r="F86" i="7"/>
  <c r="F82" i="7"/>
  <c r="F81" i="7"/>
  <c r="F80" i="7"/>
  <c r="F79" i="7"/>
  <c r="F78" i="7"/>
  <c r="F77" i="7"/>
  <c r="F76" i="7"/>
  <c r="F75" i="7"/>
  <c r="F71" i="7"/>
  <c r="F70" i="7"/>
  <c r="F69" i="7"/>
  <c r="F68" i="7"/>
  <c r="F67" i="7"/>
  <c r="F66" i="7"/>
  <c r="F65" i="7"/>
  <c r="F64" i="7"/>
  <c r="F60" i="7"/>
  <c r="F59" i="7"/>
  <c r="F58" i="7"/>
  <c r="F57" i="7"/>
  <c r="F56" i="7"/>
  <c r="F55" i="7"/>
  <c r="F54" i="7"/>
  <c r="F53" i="7"/>
  <c r="F52" i="7"/>
  <c r="F48" i="7"/>
  <c r="F47" i="7"/>
  <c r="F46" i="7"/>
  <c r="F45" i="7"/>
  <c r="F44" i="7"/>
  <c r="F43" i="7"/>
  <c r="F42" i="7"/>
  <c r="F41" i="7"/>
  <c r="F40" i="7"/>
  <c r="F39" i="7"/>
  <c r="F35" i="7"/>
  <c r="F34" i="7"/>
  <c r="F33" i="7"/>
  <c r="F32" i="7"/>
  <c r="F31" i="7"/>
  <c r="F30" i="7"/>
  <c r="F29" i="7"/>
  <c r="F28" i="7"/>
  <c r="F24" i="7"/>
  <c r="F23" i="7"/>
  <c r="F22" i="7"/>
  <c r="F21" i="7"/>
  <c r="F20" i="7"/>
  <c r="F19" i="7"/>
  <c r="F18" i="7"/>
  <c r="P7" i="3" l="1"/>
  <c r="F14" i="7"/>
  <c r="F13" i="7"/>
  <c r="F12" i="7"/>
  <c r="F11" i="7"/>
  <c r="F10" i="7"/>
  <c r="F9" i="7"/>
  <c r="F8" i="7"/>
  <c r="F7" i="7"/>
  <c r="F6" i="7"/>
  <c r="F5" i="7"/>
  <c r="F4" i="7"/>
  <c r="F108" i="7" l="1"/>
  <c r="F15" i="5"/>
  <c r="F19" i="5" s="1"/>
  <c r="F16" i="5"/>
  <c r="K27" i="8" l="1"/>
  <c r="F136" i="8" l="1"/>
  <c r="F133" i="8"/>
  <c r="F121" i="8"/>
  <c r="F109" i="8"/>
  <c r="F97" i="8"/>
  <c r="F85" i="8"/>
  <c r="F73" i="8"/>
  <c r="F61" i="8"/>
  <c r="F49" i="8"/>
  <c r="F37" i="8"/>
  <c r="F25" i="8"/>
  <c r="F13" i="8"/>
  <c r="F130" i="8"/>
  <c r="F118" i="8"/>
  <c r="F106" i="8"/>
  <c r="F94" i="8"/>
  <c r="F82" i="8"/>
  <c r="F70" i="8"/>
  <c r="F58" i="8"/>
  <c r="F46" i="8"/>
  <c r="F34" i="8"/>
  <c r="F22" i="8"/>
  <c r="F10" i="8"/>
  <c r="F4" i="8"/>
  <c r="F127" i="8"/>
  <c r="F115" i="8"/>
  <c r="F103" i="8"/>
  <c r="F91" i="8"/>
  <c r="F79" i="8"/>
  <c r="F67" i="8"/>
  <c r="F55" i="8"/>
  <c r="F43" i="8"/>
  <c r="F31" i="8"/>
  <c r="F19" i="8"/>
  <c r="F7" i="8"/>
  <c r="F124" i="8"/>
  <c r="F112" i="8"/>
  <c r="F100" i="8"/>
  <c r="F88" i="8"/>
  <c r="F76" i="8"/>
  <c r="F64" i="8"/>
  <c r="F52" i="8"/>
  <c r="F40" i="8"/>
  <c r="F28" i="8"/>
  <c r="F16" i="8"/>
  <c r="F120" i="7"/>
  <c r="F97" i="7"/>
  <c r="F83" i="7"/>
  <c r="F72" i="7"/>
  <c r="F61" i="7"/>
  <c r="F15" i="7"/>
  <c r="F20" i="6"/>
  <c r="F8" i="6"/>
  <c r="F9" i="6"/>
  <c r="F12" i="5"/>
  <c r="F11" i="5"/>
  <c r="F6" i="5"/>
  <c r="F7" i="5" s="1"/>
  <c r="F126" i="8" l="1"/>
  <c r="E44" i="11" s="1"/>
  <c r="F114" i="8"/>
  <c r="E40" i="11" s="1"/>
  <c r="F102" i="8"/>
  <c r="E36" i="11" s="1"/>
  <c r="F90" i="8"/>
  <c r="E32" i="11" s="1"/>
  <c r="F78" i="8"/>
  <c r="E28" i="11" s="1"/>
  <c r="F66" i="8"/>
  <c r="E24" i="11" s="1"/>
  <c r="F54" i="8"/>
  <c r="E20" i="11" s="1"/>
  <c r="F42" i="8"/>
  <c r="E16" i="11" s="1"/>
  <c r="F30" i="8"/>
  <c r="E12" i="11" s="1"/>
  <c r="F18" i="8"/>
  <c r="E8" i="11" s="1"/>
  <c r="F6" i="8"/>
  <c r="E4" i="11" s="1"/>
  <c r="F129" i="8"/>
  <c r="E45" i="11" s="1"/>
  <c r="F117" i="8"/>
  <c r="E41" i="11" s="1"/>
  <c r="F105" i="8"/>
  <c r="E37" i="11" s="1"/>
  <c r="F93" i="8"/>
  <c r="E33" i="11" s="1"/>
  <c r="F81" i="8"/>
  <c r="E29" i="11" s="1"/>
  <c r="F69" i="8"/>
  <c r="E25" i="11" s="1"/>
  <c r="F57" i="8"/>
  <c r="E21" i="11" s="1"/>
  <c r="F45" i="8"/>
  <c r="E17" i="11" s="1"/>
  <c r="F33" i="8"/>
  <c r="E13" i="11" s="1"/>
  <c r="F21" i="8"/>
  <c r="E9" i="11" s="1"/>
  <c r="F9" i="8"/>
  <c r="E5" i="11" s="1"/>
  <c r="F132" i="8"/>
  <c r="E46" i="11" s="1"/>
  <c r="F120" i="8"/>
  <c r="E42" i="11" s="1"/>
  <c r="F108" i="8"/>
  <c r="E38" i="11" s="1"/>
  <c r="F96" i="8"/>
  <c r="E34" i="11" s="1"/>
  <c r="F84" i="8"/>
  <c r="E30" i="11" s="1"/>
  <c r="F72" i="8"/>
  <c r="E26" i="11" s="1"/>
  <c r="F60" i="8"/>
  <c r="E22" i="11" s="1"/>
  <c r="F48" i="8"/>
  <c r="E18" i="11" s="1"/>
  <c r="F36" i="8"/>
  <c r="E14" i="11" s="1"/>
  <c r="F24" i="8"/>
  <c r="E10" i="11" s="1"/>
  <c r="F12" i="8"/>
  <c r="E6" i="11" s="1"/>
  <c r="F135" i="8"/>
  <c r="E47" i="11" s="1"/>
  <c r="F123" i="8"/>
  <c r="E43" i="11" s="1"/>
  <c r="F111" i="8"/>
  <c r="E39" i="11" s="1"/>
  <c r="F99" i="8"/>
  <c r="E35" i="11" s="1"/>
  <c r="F87" i="8"/>
  <c r="E31" i="11" s="1"/>
  <c r="F75" i="8"/>
  <c r="E27" i="11" s="1"/>
  <c r="F63" i="8"/>
  <c r="E23" i="11" s="1"/>
  <c r="F51" i="8"/>
  <c r="E19" i="11" s="1"/>
  <c r="F39" i="8"/>
  <c r="E15" i="11" s="1"/>
  <c r="F27" i="8"/>
  <c r="E11" i="11" s="1"/>
  <c r="F15" i="8"/>
  <c r="E7" i="11" s="1"/>
  <c r="F3" i="8"/>
  <c r="F13" i="5"/>
  <c r="F4" i="6"/>
  <c r="F3" i="6"/>
  <c r="F7" i="6"/>
  <c r="F10" i="6"/>
  <c r="F49" i="7"/>
  <c r="F25" i="7"/>
  <c r="F36" i="7"/>
  <c r="F20" i="5"/>
  <c r="E3" i="11" l="1"/>
  <c r="E49" i="11" s="1"/>
  <c r="O4" i="8"/>
  <c r="O10" i="8"/>
  <c r="F16" i="6"/>
  <c r="E122" i="7"/>
  <c r="F11" i="6"/>
  <c r="F12" i="6"/>
  <c r="F17" i="6"/>
  <c r="F21" i="5"/>
  <c r="F94" i="9" l="1"/>
  <c r="F93" i="9"/>
  <c r="O21" i="8"/>
  <c r="I10" i="11"/>
  <c r="I17" i="11"/>
  <c r="F12" i="9"/>
  <c r="F21" i="9"/>
  <c r="F48" i="9"/>
  <c r="F57" i="9"/>
  <c r="F30" i="9"/>
  <c r="F39" i="9"/>
  <c r="F75" i="9"/>
  <c r="F13" i="6"/>
  <c r="F66" i="9"/>
  <c r="F84" i="9"/>
  <c r="F85" i="9"/>
  <c r="F67" i="9"/>
  <c r="F49" i="9"/>
  <c r="F4" i="9"/>
  <c r="F58" i="9"/>
  <c r="F40" i="9"/>
  <c r="F76" i="9"/>
  <c r="F22" i="9"/>
  <c r="O18" i="8"/>
  <c r="F31" i="9"/>
  <c r="F13" i="9"/>
  <c r="O23" i="8"/>
  <c r="F23" i="9" l="1"/>
  <c r="I16" i="11"/>
  <c r="I43" i="11"/>
  <c r="F86" i="9"/>
  <c r="F88" i="9" s="1"/>
  <c r="F59" i="9"/>
  <c r="I7" i="9"/>
  <c r="I18" i="11"/>
  <c r="I3" i="11"/>
  <c r="I13" i="11"/>
  <c r="K44" i="11"/>
  <c r="I7" i="11"/>
  <c r="F14" i="9"/>
  <c r="F16" i="9" s="1"/>
  <c r="I11" i="11"/>
  <c r="I8" i="11"/>
  <c r="I19" i="11"/>
  <c r="F96" i="9"/>
  <c r="F98" i="9"/>
  <c r="Q18" i="8"/>
  <c r="F5" i="9"/>
  <c r="F95" i="9"/>
  <c r="F97" i="9" s="1"/>
  <c r="J13" i="11"/>
  <c r="K13" i="11" s="1"/>
  <c r="J19" i="11"/>
  <c r="K19" i="11" s="1"/>
  <c r="J8" i="11"/>
  <c r="K8" i="11" s="1"/>
  <c r="K42" i="11"/>
  <c r="J17" i="11"/>
  <c r="K17" i="11" s="1"/>
  <c r="J10" i="11"/>
  <c r="K10" i="11" s="1"/>
  <c r="F68" i="9"/>
  <c r="F70" i="9" s="1"/>
  <c r="F77" i="9"/>
  <c r="F79" i="9" s="1"/>
  <c r="F32" i="9"/>
  <c r="F34" i="9" s="1"/>
  <c r="I4" i="11"/>
  <c r="I12" i="11"/>
  <c r="I20" i="11"/>
  <c r="I9" i="11"/>
  <c r="I21" i="11"/>
  <c r="K23" i="11"/>
  <c r="J11" i="11"/>
  <c r="K11" i="11" s="1"/>
  <c r="I8" i="9"/>
  <c r="J5" i="11"/>
  <c r="J21" i="11"/>
  <c r="J4" i="11"/>
  <c r="J12" i="11"/>
  <c r="J20" i="11"/>
  <c r="K36" i="11"/>
  <c r="J3" i="11"/>
  <c r="K3" i="11" s="1"/>
  <c r="J16" i="11"/>
  <c r="K16" i="11" s="1"/>
  <c r="J7" i="11"/>
  <c r="K7" i="11" s="1"/>
  <c r="J43" i="11"/>
  <c r="K26" i="11"/>
  <c r="J18" i="11"/>
  <c r="K18" i="11" s="1"/>
  <c r="K45" i="11"/>
  <c r="F50" i="9"/>
  <c r="F52" i="9" s="1"/>
  <c r="F41" i="9"/>
  <c r="F43" i="9" s="1"/>
  <c r="I5" i="11"/>
  <c r="K5" i="11" s="1"/>
  <c r="I6" i="11"/>
  <c r="I14" i="11"/>
  <c r="I22" i="11"/>
  <c r="I15" i="11"/>
  <c r="K46" i="11"/>
  <c r="J15" i="11"/>
  <c r="K29" i="11"/>
  <c r="J9" i="11"/>
  <c r="K38" i="11"/>
  <c r="J6" i="11"/>
  <c r="J14" i="11"/>
  <c r="J22" i="11"/>
  <c r="F3" i="9"/>
  <c r="F7" i="9" s="1"/>
  <c r="O15" i="8"/>
  <c r="F25" i="9"/>
  <c r="F61" i="9"/>
  <c r="F6" i="9"/>
  <c r="F8" i="9" s="1"/>
  <c r="F15" i="9"/>
  <c r="F17" i="9" s="1"/>
  <c r="F33" i="9"/>
  <c r="F35" i="9" s="1"/>
  <c r="F60" i="9"/>
  <c r="F62" i="9" s="1"/>
  <c r="F87" i="9"/>
  <c r="F89" i="9" s="1"/>
  <c r="F51" i="9"/>
  <c r="F53" i="9" s="1"/>
  <c r="F24" i="9"/>
  <c r="F26" i="9" s="1"/>
  <c r="F78" i="9"/>
  <c r="F80" i="9" s="1"/>
  <c r="F42" i="9"/>
  <c r="F44" i="9" s="1"/>
  <c r="F69" i="9"/>
  <c r="F71" i="9" s="1"/>
  <c r="K47" i="11" l="1"/>
  <c r="K43" i="11"/>
  <c r="K33" i="11"/>
  <c r="F99" i="9"/>
  <c r="K30" i="11"/>
  <c r="K31" i="11"/>
  <c r="O26" i="8"/>
  <c r="Q15" i="8"/>
  <c r="K40" i="11"/>
  <c r="K15" i="11"/>
  <c r="K12" i="11"/>
  <c r="K6" i="11"/>
  <c r="K28" i="11"/>
  <c r="K9" i="11"/>
  <c r="K37" i="11"/>
  <c r="K22" i="11"/>
  <c r="K25" i="11"/>
  <c r="K34" i="11"/>
  <c r="K39" i="11"/>
  <c r="K35" i="11"/>
  <c r="J49" i="11"/>
  <c r="K21" i="11"/>
  <c r="K4" i="11"/>
  <c r="F81" i="9"/>
  <c r="K24" i="11"/>
  <c r="K27" i="11"/>
  <c r="K14" i="11"/>
  <c r="K32" i="11"/>
  <c r="I49" i="11"/>
  <c r="K41" i="11"/>
  <c r="K20" i="11"/>
  <c r="F63" i="9"/>
  <c r="F27" i="9"/>
  <c r="F90" i="9"/>
  <c r="F18" i="9"/>
  <c r="F45" i="9"/>
  <c r="F9" i="9"/>
  <c r="F36" i="9"/>
  <c r="F72" i="9"/>
  <c r="F54" i="9"/>
  <c r="K7" i="9" l="1"/>
  <c r="K49" i="11"/>
</calcChain>
</file>

<file path=xl/comments1.xml><?xml version="1.0" encoding="utf-8"?>
<comments xmlns="http://schemas.openxmlformats.org/spreadsheetml/2006/main">
  <authors>
    <author>Domenico</author>
  </authors>
  <commentList>
    <comment ref="I1" authorId="0" shapeId="0">
      <text>
        <r>
          <rPr>
            <sz val="9"/>
            <color indexed="81"/>
            <rFont val="Tahoma"/>
            <charset val="1"/>
          </rPr>
          <t xml:space="preserve">P -&gt; Previsionale
C -&gt; Consuntivo
</t>
        </r>
      </text>
    </comment>
  </commentList>
</comments>
</file>

<file path=xl/comments2.xml><?xml version="1.0" encoding="utf-8"?>
<comments xmlns="http://schemas.openxmlformats.org/spreadsheetml/2006/main">
  <authors>
    <author>Domenico</author>
  </authors>
  <commentList>
    <comment ref="E5" authorId="0" shapeId="0">
      <text>
        <r>
          <rPr>
            <sz val="9"/>
            <color indexed="81"/>
            <rFont val="Tahoma"/>
            <family val="2"/>
          </rPr>
          <t>Fornito dall'analisi energetica dell'edificio, si utilizza per il calcolo previsionale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Fornito dall'analisi energetica dell'edificio, si utilizza per il calcolo previsionale</t>
        </r>
      </text>
    </comment>
  </commentList>
</comments>
</file>

<file path=xl/comments3.xml><?xml version="1.0" encoding="utf-8"?>
<comments xmlns="http://schemas.openxmlformats.org/spreadsheetml/2006/main">
  <authors>
    <author>Domenico</author>
  </authors>
  <commentList>
    <comment ref="F2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69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70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95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9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19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20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41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42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63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6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91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92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13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1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3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23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</commentList>
</comments>
</file>

<file path=xl/comments4.xml><?xml version="1.0" encoding="utf-8"?>
<comments xmlns="http://schemas.openxmlformats.org/spreadsheetml/2006/main">
  <authors>
    <author>Domenico</author>
  </authors>
  <commentList>
    <comment ref="F5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6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23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24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32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33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41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42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50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51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59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60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68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69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77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78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86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87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95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96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</commentList>
</comments>
</file>

<file path=xl/sharedStrings.xml><?xml version="1.0" encoding="utf-8"?>
<sst xmlns="http://schemas.openxmlformats.org/spreadsheetml/2006/main" count="1791" uniqueCount="741">
  <si>
    <t>Generatori</t>
  </si>
  <si>
    <t>Tipologia di contabilizzazione dell'energia termica utile prodotta dal generatore</t>
  </si>
  <si>
    <t>Numero di unità immobiliare</t>
  </si>
  <si>
    <t>Numero di locali ad uso collettivo</t>
  </si>
  <si>
    <t>Tipologia di contabilizzazione dei consumi di energia termica utile delle unità immobiliari per climatizzazione invernale</t>
  </si>
  <si>
    <t>Tipologia di contabilizzazione dei consumi di energia termica utile delle unità immobiliari per ACS</t>
  </si>
  <si>
    <t>Periodo considerato</t>
  </si>
  <si>
    <t>Criterio di ripartizione della spesa totale per potenza termica installata per climatizzazione invernale</t>
  </si>
  <si>
    <t>Spesa totale per conduzione e manutenzione ordinaria dell'impianto centralizzato</t>
  </si>
  <si>
    <t xml:space="preserve">Spesa totale per la gestione del servizio di contabilizzazione dell'energia termica utile </t>
  </si>
  <si>
    <t>Perdite dell'impianto di climatizzazione invernale nel periodo considerato</t>
  </si>
  <si>
    <t>Fabbisogno annuo di energia termica dell'edificio utile per climatizzazione invernale</t>
  </si>
  <si>
    <t>Fabbisogno annuo di enrgia termica utile dell'edificio per ACS</t>
  </si>
  <si>
    <r>
      <t>Q</t>
    </r>
    <r>
      <rPr>
        <vertAlign val="subscript"/>
        <sz val="11"/>
        <color theme="1"/>
        <rFont val="Calibri"/>
        <family val="2"/>
        <scheme val="minor"/>
      </rPr>
      <t>h,acs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</si>
  <si>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h,cli</t>
    </r>
  </si>
  <si>
    <r>
      <t>P</t>
    </r>
    <r>
      <rPr>
        <vertAlign val="subscript"/>
        <sz val="11"/>
        <color theme="1"/>
        <rFont val="Calibri"/>
        <family val="2"/>
        <scheme val="minor"/>
      </rPr>
      <t>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</si>
  <si>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cr</t>
    </r>
  </si>
  <si>
    <r>
      <t>S</t>
    </r>
    <r>
      <rPr>
        <vertAlign val="subscript"/>
        <sz val="11"/>
        <color theme="1"/>
        <rFont val="Calibri"/>
        <family val="2"/>
        <scheme val="minor"/>
      </rPr>
      <t>cm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</si>
  <si>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</t>
    </r>
  </si>
  <si>
    <t>Vettore 1</t>
  </si>
  <si>
    <t>Vettore 2</t>
  </si>
  <si>
    <t>Vettori energetici:</t>
  </si>
  <si>
    <t>gas naturale</t>
  </si>
  <si>
    <t>energia elettrica</t>
  </si>
  <si>
    <t>generatore a combustione per climatizzazione invernale e ACS</t>
  </si>
  <si>
    <t>contatore di calore</t>
  </si>
  <si>
    <t>ripartitori</t>
  </si>
  <si>
    <t>contatori volumetrici</t>
  </si>
  <si>
    <t>stagione annuale</t>
  </si>
  <si>
    <t>millesimi di fabbisogno di energia termica utile</t>
  </si>
  <si>
    <t>kWh</t>
  </si>
  <si>
    <t>€</t>
  </si>
  <si>
    <t>Lettura iniziale del contatore di combustibile</t>
  </si>
  <si>
    <t>Lettura finale del contatore di combustibile</t>
  </si>
  <si>
    <t>Fabbisogno per climatizzazione invernale nel periodo considerato</t>
  </si>
  <si>
    <t>Fabbisogno per ACS nel periodo considerato</t>
  </si>
  <si>
    <t>Costo unitario</t>
  </si>
  <si>
    <r>
      <t>L</t>
    </r>
    <r>
      <rPr>
        <vertAlign val="subscript"/>
        <sz val="11"/>
        <color theme="1"/>
        <rFont val="Calibri"/>
        <family val="2"/>
        <scheme val="minor"/>
      </rPr>
      <t>1,ct,1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</si>
  <si>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2,ct,1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</si>
  <si>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ve,cli,1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</si>
  <si>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ve,acs,1</t>
    </r>
  </si>
  <si>
    <r>
      <t>C</t>
    </r>
    <r>
      <rPr>
        <vertAlign val="subscript"/>
        <sz val="11"/>
        <color theme="1"/>
        <rFont val="Calibri"/>
        <family val="2"/>
        <scheme val="minor"/>
      </rPr>
      <t>ve,1</t>
    </r>
  </si>
  <si>
    <t>mc</t>
  </si>
  <si>
    <t>€/mc</t>
  </si>
  <si>
    <t>Vettore 2 (energia elettrica)</t>
  </si>
  <si>
    <t>Lettura iniziale del contatore di energia elettrica</t>
  </si>
  <si>
    <t>Lettura finale del contatore di energia elettrica</t>
  </si>
  <si>
    <t>Vettore 1 (combustibile)</t>
  </si>
  <si>
    <t>€/kWh</t>
  </si>
  <si>
    <t>Lettura iniziale del contatore di calore</t>
  </si>
  <si>
    <t>Lettura finale del contatore di calore</t>
  </si>
  <si>
    <t>Fabbisogno  di energia termica utile applicato al generatore per climatizzazione invernale nel periodo considerato</t>
  </si>
  <si>
    <t>Fabbisogno  di energia termica utile applicato al generatore per ACS nel periodo considerato</t>
  </si>
  <si>
    <r>
      <t>L</t>
    </r>
    <r>
      <rPr>
        <vertAlign val="subscript"/>
        <sz val="11"/>
        <color theme="1"/>
        <rFont val="Calibri"/>
        <family val="2"/>
        <scheme val="minor"/>
      </rPr>
      <t>1,cc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</si>
  <si>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2,cc</t>
    </r>
  </si>
  <si>
    <r>
      <t>Q'</t>
    </r>
    <r>
      <rPr>
        <vertAlign val="subscript"/>
        <sz val="11"/>
        <color theme="1"/>
        <rFont val="Calibri"/>
        <family val="2"/>
        <scheme val="minor"/>
      </rPr>
      <t>gn,cli</t>
    </r>
  </si>
  <si>
    <r>
      <t>Q'</t>
    </r>
    <r>
      <rPr>
        <vertAlign val="subscript"/>
        <sz val="11"/>
        <color theme="1"/>
        <rFont val="Calibri"/>
        <family val="2"/>
        <scheme val="minor"/>
      </rPr>
      <t>gn,acs</t>
    </r>
  </si>
  <si>
    <t>Unità immobiliare</t>
  </si>
  <si>
    <t>Lettura iniziale ripartitore - corpo scaldante 1</t>
  </si>
  <si>
    <t>Lettura iniziale ripartitore - corpo scaldante 2</t>
  </si>
  <si>
    <t>Lettura finale ripartitore - corpo scaldante 1</t>
  </si>
  <si>
    <r>
      <t>L</t>
    </r>
    <r>
      <rPr>
        <vertAlign val="subscript"/>
        <sz val="11"/>
        <color theme="1"/>
        <rFont val="Calibri"/>
        <family val="2"/>
        <scheme val="minor"/>
      </rPr>
      <t>1,r,1,1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</si>
  <si>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2,r,1,1</t>
    </r>
  </si>
  <si>
    <t>Lettura finale ripartitore - corpo scaldante 2</t>
  </si>
  <si>
    <t>Lettura iniziale ripartitore - corpo scaldante 3</t>
  </si>
  <si>
    <t>Lettura finale ripartitore - corpo scaldante 3</t>
  </si>
  <si>
    <t>Lettura iniziale ripartitore - corpo scaldante 4</t>
  </si>
  <si>
    <t>Lettura finale ripartitore - corpo scaldante 4</t>
  </si>
  <si>
    <t>Lettura iniziale ripartitore - corpo scaldante 5</t>
  </si>
  <si>
    <t>Lettura finale ripartitore - corpo scaldante 5</t>
  </si>
  <si>
    <r>
      <t>L</t>
    </r>
    <r>
      <rPr>
        <vertAlign val="subscript"/>
        <sz val="11"/>
        <color theme="1"/>
        <rFont val="Calibri"/>
        <family val="2"/>
        <scheme val="minor"/>
      </rPr>
      <t>1,r,2,1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</si>
  <si>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</si>
  <si>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</si>
  <si>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</si>
  <si>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</si>
  <si>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</si>
  <si>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</si>
  <si>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2,r,5,1</t>
    </r>
  </si>
  <si>
    <t>Lettura iniziale del contatore volumetrico</t>
  </si>
  <si>
    <t>Lettura finale del contatore volumetrico</t>
  </si>
  <si>
    <r>
      <t>L</t>
    </r>
    <r>
      <rPr>
        <vertAlign val="subscript"/>
        <sz val="11"/>
        <color theme="1"/>
        <rFont val="Calibri"/>
        <family val="2"/>
        <scheme val="minor"/>
      </rPr>
      <t>1,cv,1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</si>
  <si>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2,cv,1</t>
    </r>
  </si>
  <si>
    <t>Millesimi di fabbisogno di energiatermica utile per climatizzazione invernale</t>
  </si>
  <si>
    <t>Millesimi di fabbisogno di energiatermica utile per ACS</t>
  </si>
  <si>
    <r>
      <t>m</t>
    </r>
    <r>
      <rPr>
        <vertAlign val="subscript"/>
        <sz val="11"/>
        <color theme="1"/>
        <rFont val="Calibri"/>
        <family val="2"/>
        <scheme val="minor"/>
      </rPr>
      <t>Qh,cli,1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</si>
  <si>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Qh,acs,1</t>
    </r>
  </si>
  <si>
    <t>ur</t>
  </si>
  <si>
    <r>
      <t>k</t>
    </r>
    <r>
      <rPr>
        <vertAlign val="subscript"/>
        <sz val="11"/>
        <color theme="1"/>
        <rFont val="Calibri"/>
        <family val="2"/>
        <scheme val="minor"/>
      </rPr>
      <t>cli,1</t>
    </r>
  </si>
  <si>
    <t>Calcolo del coefficiente di ripartizione per ACS</t>
  </si>
  <si>
    <r>
      <t>k</t>
    </r>
    <r>
      <rPr>
        <vertAlign val="subscript"/>
        <sz val="11"/>
        <color theme="1"/>
        <rFont val="Calibri"/>
        <family val="2"/>
        <scheme val="minor"/>
      </rPr>
      <t>acs,1</t>
    </r>
  </si>
  <si>
    <t>Calcolo del consumo per Riscaldamento</t>
  </si>
  <si>
    <t>Calcolo del coefficiente di ripartizione per Riscaldamento</t>
  </si>
  <si>
    <t>Calcolo del consumo per ACS</t>
  </si>
  <si>
    <r>
      <t>Q</t>
    </r>
    <r>
      <rPr>
        <vertAlign val="subscript"/>
        <sz val="11"/>
        <color theme="1"/>
        <rFont val="Calibri"/>
        <family val="2"/>
        <scheme val="minor"/>
      </rPr>
      <t>ve,cli,1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</si>
  <si>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ve,acs,1</t>
    </r>
  </si>
  <si>
    <r>
      <t>k</t>
    </r>
    <r>
      <rPr>
        <vertAlign val="subscript"/>
        <sz val="11"/>
        <color theme="1"/>
        <rFont val="Calibri"/>
        <family val="2"/>
        <scheme val="minor"/>
      </rPr>
      <t>cli,2</t>
    </r>
  </si>
  <si>
    <r>
      <t>k</t>
    </r>
    <r>
      <rPr>
        <vertAlign val="subscript"/>
        <sz val="11"/>
        <color theme="1"/>
        <rFont val="Calibri"/>
        <family val="2"/>
        <scheme val="minor"/>
      </rPr>
      <t>acs,2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</si>
  <si>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ve,cli,2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</si>
  <si>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ve,acs,2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</si>
  <si>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1,ct,2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</si>
  <si>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2,ct,2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</si>
  <si>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ve,cli,2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</si>
  <si>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ve,acs,2</t>
    </r>
  </si>
  <si>
    <r>
      <t>C</t>
    </r>
    <r>
      <rPr>
        <vertAlign val="subscript"/>
        <sz val="11"/>
        <color theme="1"/>
        <rFont val="Calibri"/>
        <family val="2"/>
        <scheme val="minor"/>
      </rPr>
      <t>ve,2</t>
    </r>
  </si>
  <si>
    <t>Calcolo dei contributi di energia termica utile del generatore</t>
  </si>
  <si>
    <r>
      <t>k</t>
    </r>
    <r>
      <rPr>
        <vertAlign val="subscript"/>
        <sz val="11"/>
        <color theme="1"/>
        <rFont val="Calibri"/>
        <family val="2"/>
        <scheme val="minor"/>
      </rPr>
      <t>cli</t>
    </r>
  </si>
  <si>
    <r>
      <t>k</t>
    </r>
    <r>
      <rPr>
        <vertAlign val="subscript"/>
        <sz val="11"/>
        <color theme="1"/>
        <rFont val="Calibri"/>
        <family val="2"/>
        <scheme val="minor"/>
      </rPr>
      <t>acs</t>
    </r>
  </si>
  <si>
    <t>Calcolo del contributo di energia termica utile per Riscaldamento</t>
  </si>
  <si>
    <t>Calcolo del contributo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</si>
  <si>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gn,cli</t>
    </r>
  </si>
  <si>
    <r>
      <t>Q</t>
    </r>
    <r>
      <rPr>
        <vertAlign val="subscript"/>
        <sz val="11"/>
        <color theme="1"/>
        <rFont val="Calibri"/>
        <family val="2"/>
        <scheme val="minor"/>
      </rPr>
      <t>gn,acs</t>
    </r>
  </si>
  <si>
    <t>Calcolo del consumo totale di energia termica utile dell'edificio per Riscaldamento e ACS</t>
  </si>
  <si>
    <t>Calcolo del consumo totale di energia termica utile dell'edificio per Riscaldamento</t>
  </si>
  <si>
    <t>Calcolo del consumo totale di energia termica utile dell'edificio per ACS</t>
  </si>
  <si>
    <r>
      <t>Q</t>
    </r>
    <r>
      <rPr>
        <vertAlign val="subscript"/>
        <sz val="11"/>
        <color theme="1"/>
        <rFont val="Calibri"/>
        <family val="2"/>
        <scheme val="minor"/>
      </rPr>
      <t>cli</t>
    </r>
  </si>
  <si>
    <r>
      <t>Q</t>
    </r>
    <r>
      <rPr>
        <vertAlign val="subscript"/>
        <sz val="11"/>
        <color theme="1"/>
        <rFont val="Calibri"/>
        <family val="2"/>
        <scheme val="minor"/>
      </rPr>
      <t>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</si>
  <si>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t</t>
    </r>
  </si>
  <si>
    <t>Calcolo della spesa totale per Riscaldamento e ACS</t>
  </si>
  <si>
    <t>Calcolo della spesa energetica per Riscaldamento</t>
  </si>
  <si>
    <t>Calcolo della spesa energetica per ACS</t>
  </si>
  <si>
    <t>Calcolo della spesa per conduzione e manutenzione ordinaria dell'impianto termico centralizzato per Riscaldamento</t>
  </si>
  <si>
    <t>Calcolo della spesa per conduzione e manutenzione ordinaria dell'impianto termico centralizzato per ACS</t>
  </si>
  <si>
    <r>
      <t>S</t>
    </r>
    <r>
      <rPr>
        <vertAlign val="subscript"/>
        <sz val="11"/>
        <color theme="1"/>
        <rFont val="Calibri"/>
        <family val="2"/>
        <scheme val="minor"/>
      </rPr>
      <t>cm,cli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</si>
  <si>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cm,acs</t>
    </r>
  </si>
  <si>
    <t>Calcolo della spesa per la gestione del servizio di contabilizzazione dell'energia termica utile per Riscaldamento</t>
  </si>
  <si>
    <t>Calcolo della spesa per la gestione del servizio di contabilizzazione dell'energia termica utile per ACS</t>
  </si>
  <si>
    <r>
      <t>S</t>
    </r>
    <r>
      <rPr>
        <vertAlign val="subscript"/>
        <sz val="11"/>
        <color theme="1"/>
        <rFont val="Calibri"/>
        <family val="2"/>
        <scheme val="minor"/>
      </rPr>
      <t>cr,cli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</si>
  <si>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cr,acs</t>
    </r>
  </si>
  <si>
    <t>Calcolo della spesa totale per Riscaldamento</t>
  </si>
  <si>
    <t>Calcolo della spesa totale per ACS</t>
  </si>
  <si>
    <r>
      <t>S</t>
    </r>
    <r>
      <rPr>
        <vertAlign val="subscript"/>
        <sz val="11"/>
        <color theme="1"/>
        <rFont val="Calibri"/>
        <family val="2"/>
        <scheme val="minor"/>
      </rPr>
      <t>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</si>
  <si>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</t>
    </r>
  </si>
  <si>
    <r>
      <t>S</t>
    </r>
    <r>
      <rPr>
        <vertAlign val="subscript"/>
        <sz val="11"/>
        <color theme="1"/>
        <rFont val="Calibri"/>
        <family val="2"/>
        <scheme val="minor"/>
      </rPr>
      <t>t</t>
    </r>
  </si>
  <si>
    <r>
      <t>S</t>
    </r>
    <r>
      <rPr>
        <vertAlign val="subscript"/>
        <sz val="11"/>
        <color theme="1"/>
        <rFont val="Calibri"/>
        <family val="2"/>
        <scheme val="minor"/>
      </rPr>
      <t>e,cli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</si>
  <si>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e,acs</t>
    </r>
  </si>
  <si>
    <t>Calcolo dei costi unitari dell'energia termica utile</t>
  </si>
  <si>
    <t>Calcolo del costo unitario dell'energia termica utile per Riscaldamento</t>
  </si>
  <si>
    <t>Calcolo del costo unitario dell'energia termica utile per ACS</t>
  </si>
  <si>
    <t>Calcolo del consumo involontario di energia termica utile per Riscaldamento</t>
  </si>
  <si>
    <t>Calcolo del consumo involontario</t>
  </si>
  <si>
    <r>
      <t>c</t>
    </r>
    <r>
      <rPr>
        <vertAlign val="subscript"/>
        <sz val="11"/>
        <color theme="1"/>
        <rFont val="Calibri"/>
        <family val="2"/>
        <scheme val="minor"/>
      </rPr>
      <t>cli</t>
    </r>
  </si>
  <si>
    <r>
      <t>c</t>
    </r>
    <r>
      <rPr>
        <vertAlign val="subscript"/>
        <sz val="11"/>
        <color theme="1"/>
        <rFont val="Calibri"/>
        <family val="2"/>
        <scheme val="minor"/>
      </rPr>
      <t>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</si>
  <si>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inv,cli</t>
    </r>
  </si>
  <si>
    <t>Calcolo delle unità di ripartizione delle singole unità immobiliari</t>
  </si>
  <si>
    <t>Calcolo delle unità di ripartizione del corpo scaldante 1</t>
  </si>
  <si>
    <r>
      <t>ur</t>
    </r>
    <r>
      <rPr>
        <vertAlign val="subscript"/>
        <sz val="11"/>
        <color theme="1"/>
        <rFont val="Calibri"/>
        <family val="2"/>
        <scheme val="minor"/>
      </rPr>
      <t>cs,1,1</t>
    </r>
  </si>
  <si>
    <t>Calcolo delle unità di ripartizione del corpo scaldante 2</t>
  </si>
  <si>
    <t>Calcolo delle unità di ripartizione del corpo scaldante 3</t>
  </si>
  <si>
    <t>Calcolo delle unità di ripartizione del corpo scaldante 4</t>
  </si>
  <si>
    <t>Calcolo delle unità di ripartizione del corpo scaldante 5</t>
  </si>
  <si>
    <t>Calcolo delle unità di ripartizione dell'unità immobiliare</t>
  </si>
  <si>
    <r>
      <t>ur</t>
    </r>
    <r>
      <rPr>
        <vertAlign val="subscript"/>
        <sz val="11"/>
        <color theme="1"/>
        <rFont val="Calibri"/>
        <family val="2"/>
        <scheme val="minor"/>
      </rPr>
      <t>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</si>
  <si>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</si>
  <si>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</si>
  <si>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</si>
  <si>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cs,5,1</t>
    </r>
  </si>
  <si>
    <t>Unità immobiliare 1</t>
  </si>
  <si>
    <t>Unità immobiliare 2</t>
  </si>
  <si>
    <t>Unità immobiliare 3</t>
  </si>
  <si>
    <t>Unità immobiliare 4</t>
  </si>
  <si>
    <r>
      <t>ur</t>
    </r>
    <r>
      <rPr>
        <vertAlign val="subscript"/>
        <sz val="11"/>
        <color theme="1"/>
        <rFont val="Calibri"/>
        <family val="2"/>
        <scheme val="minor"/>
      </rPr>
      <t>cs,1,2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</si>
  <si>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</si>
  <si>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</si>
  <si>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</si>
  <si>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</si>
  <si>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</si>
  <si>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</si>
  <si>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</si>
  <si>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</si>
  <si>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</si>
  <si>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</si>
  <si>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</si>
  <si>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</si>
  <si>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</si>
  <si>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</si>
  <si>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</si>
  <si>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</si>
  <si>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</si>
  <si>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</si>
  <si>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</si>
  <si>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</si>
  <si>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</si>
  <si>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</si>
  <si>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</si>
  <si>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</si>
  <si>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</si>
  <si>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</si>
  <si>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</si>
  <si>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</si>
  <si>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2,cv,2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</si>
  <si>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Qh,cli,2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</si>
  <si>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</si>
  <si>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</si>
  <si>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</si>
  <si>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</si>
  <si>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</si>
  <si>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</si>
  <si>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</si>
  <si>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</si>
  <si>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</si>
  <si>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</si>
  <si>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</si>
  <si>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</si>
  <si>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2,cv,3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</si>
  <si>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Qh,cli,3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</si>
  <si>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</si>
  <si>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</si>
  <si>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</si>
  <si>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</si>
  <si>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</si>
  <si>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</si>
  <si>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</si>
  <si>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</si>
  <si>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</si>
  <si>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</si>
  <si>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</si>
  <si>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</si>
  <si>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2,cv,4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</si>
  <si>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Qh,cli,4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</si>
  <si>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Qh,acs,4</t>
    </r>
  </si>
  <si>
    <t>Calcolo dei consumi di energia termica utile dellesingole unità immobiliari</t>
  </si>
  <si>
    <t>Unità 1</t>
  </si>
  <si>
    <t>Calcolo dei consumi di energia termica utile per Riscaldamento</t>
  </si>
  <si>
    <t>Calcolo dei consumi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</si>
  <si>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ui,cli,1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</si>
  <si>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ui,acs,1</t>
    </r>
  </si>
  <si>
    <t>Unità 2</t>
  </si>
  <si>
    <t>Unità 3</t>
  </si>
  <si>
    <t>Unità 4</t>
  </si>
  <si>
    <t>Calcolo delle componenti del consumo totale di energia termica utile dell'edificio per Riscaldamento e ACS</t>
  </si>
  <si>
    <t xml:space="preserve">Calcolo delle componenti del consumo totale di energia termica utile dell'unità immobiliari per Riscaldamento </t>
  </si>
  <si>
    <t>Calcolo delle componenti del consumo totale di energia termica utile dell'unità immobiliari per ACS</t>
  </si>
  <si>
    <t>Calcolo del consumo involontario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</si>
  <si>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ui,cli,t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</si>
  <si>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ui,acs,t</t>
    </r>
  </si>
  <si>
    <r>
      <t>Q</t>
    </r>
    <r>
      <rPr>
        <vertAlign val="subscript"/>
        <sz val="11"/>
        <color theme="1"/>
        <rFont val="Calibri"/>
        <family val="2"/>
        <scheme val="minor"/>
      </rPr>
      <t>inv,acs</t>
    </r>
  </si>
  <si>
    <t>Calcolo delle componenti della spesa totale per Riscaldamento e ACS</t>
  </si>
  <si>
    <t>Calcolo delle componenti della spesa totale per il consumo di energia termica utile delle unità immobiliari per Riscaldamento</t>
  </si>
  <si>
    <t>Calcolo delle componenti della spesa totale per il consumo di energia termica utile delle unità immobiliari per ACS</t>
  </si>
  <si>
    <t>Calcolo della spesa totale per potenza termica installata per Riscaldamento</t>
  </si>
  <si>
    <t>Calcolo della spesa totale per potenza termica installata per ACS</t>
  </si>
  <si>
    <r>
      <t>S</t>
    </r>
    <r>
      <rPr>
        <vertAlign val="subscript"/>
        <sz val="11"/>
        <color theme="1"/>
        <rFont val="Calibri"/>
        <family val="2"/>
        <scheme val="minor"/>
      </rPr>
      <t>ui,cli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</si>
  <si>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</si>
  <si>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</t>
    </r>
  </si>
  <si>
    <t>Calcolo delle spese delle singole unità immobiliari</t>
  </si>
  <si>
    <t>Calcolo della spesa per il consumo di energia termica utile per riscaldamento</t>
  </si>
  <si>
    <t>Calcolo della spesa per il consumo di energia termica utile per ACS</t>
  </si>
  <si>
    <t>Calcolo della spesa per potenza termica installata per Riscaldamento</t>
  </si>
  <si>
    <t>Calcolo della spesa per potenza termica installata per ACS</t>
  </si>
  <si>
    <t>Calcolo della spesa totale per unità</t>
  </si>
  <si>
    <r>
      <t>S</t>
    </r>
    <r>
      <rPr>
        <vertAlign val="subscript"/>
        <sz val="11"/>
        <color theme="1"/>
        <rFont val="Calibri"/>
        <family val="2"/>
        <scheme val="minor"/>
      </rPr>
      <t>ui,cli,1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</si>
  <si>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</si>
  <si>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</si>
  <si>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</si>
  <si>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</si>
  <si>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</si>
  <si>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t,1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</si>
  <si>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ui,cli,2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</si>
  <si>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ui,acs,2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</si>
  <si>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ui,cli,3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</si>
  <si>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ui,acs,3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</si>
  <si>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ui,cli,4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</si>
  <si>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ui,acs,4</t>
    </r>
  </si>
  <si>
    <t>Lettura iniziale ripartitore - corpo scaldante 6</t>
  </si>
  <si>
    <t>Lettura finale ripartitore - corpo scaldante 6</t>
  </si>
  <si>
    <t>Lettura iniziale ripartitore - corpo scaldante 7</t>
  </si>
  <si>
    <t>Lettura finale ripartitore - corpo scaldante 7</t>
  </si>
  <si>
    <t>Lettura iniziale ripartitore - corpo scaldante 8</t>
  </si>
  <si>
    <t>Lettura finale ripartitore - corpo scaldante 8</t>
  </si>
  <si>
    <t>Lettura iniziale ripartitore - corpo scaldante 9</t>
  </si>
  <si>
    <t>Lettura finale ripartitore - corpo scaldante 9</t>
  </si>
  <si>
    <t>Lettura iniziale ripartitore - corpo scaldante 10</t>
  </si>
  <si>
    <t>Lettura finale ripartitore - corpo scaldante 10</t>
  </si>
  <si>
    <t>Lettura iniziale ripartitore - corpo scaldante 11</t>
  </si>
  <si>
    <t>Lettura finale ripartitore - corpo scaldante 11</t>
  </si>
  <si>
    <r>
      <t>L</t>
    </r>
    <r>
      <rPr>
        <vertAlign val="subscript"/>
        <sz val="11"/>
        <color theme="1"/>
        <rFont val="Calibri"/>
        <family val="2"/>
        <scheme val="minor"/>
      </rPr>
      <t>1,r,6,1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</si>
  <si>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</si>
  <si>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</si>
  <si>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</si>
  <si>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</si>
  <si>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</si>
  <si>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</si>
  <si>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</si>
  <si>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1,r,10,1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</si>
  <si>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2,r,10,1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</si>
  <si>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1,r,11,1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</si>
  <si>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2,r,11,1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</si>
  <si>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</si>
  <si>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</si>
  <si>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</si>
  <si>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</si>
  <si>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</si>
  <si>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</si>
  <si>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</si>
  <si>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</si>
  <si>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</si>
  <si>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</si>
  <si>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</si>
  <si>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</si>
  <si>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</si>
  <si>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</si>
  <si>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</si>
  <si>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</si>
  <si>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</si>
  <si>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</si>
  <si>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1,r,10,4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</si>
  <si>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2,r,10,4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</si>
  <si>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</si>
  <si>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</si>
  <si>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</si>
  <si>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</si>
  <si>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</si>
  <si>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</si>
  <si>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</si>
  <si>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</si>
  <si>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</si>
  <si>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</si>
  <si>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</si>
  <si>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</si>
  <si>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</si>
  <si>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</si>
  <si>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</si>
  <si>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</si>
  <si>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</si>
  <si>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</si>
  <si>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1,cv,5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</si>
  <si>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2,cv,5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</si>
  <si>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Qh,cli,5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</si>
  <si>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Qh,acs,5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</si>
  <si>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</si>
  <si>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</si>
  <si>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</si>
  <si>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</si>
  <si>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</si>
  <si>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</si>
  <si>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</si>
  <si>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</si>
  <si>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</si>
  <si>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</si>
  <si>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</si>
  <si>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</si>
  <si>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</si>
  <si>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</si>
  <si>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</si>
  <si>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</si>
  <si>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1,cv,6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</si>
  <si>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2,cv,6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</si>
  <si>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Qh,cli,6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</si>
  <si>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Qh,acs,6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</si>
  <si>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</si>
  <si>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</si>
  <si>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</si>
  <si>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</si>
  <si>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</si>
  <si>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</si>
  <si>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</si>
  <si>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</si>
  <si>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</si>
  <si>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</si>
  <si>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</si>
  <si>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</si>
  <si>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</si>
  <si>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</si>
  <si>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</si>
  <si>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</si>
  <si>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1,cv,7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</si>
  <si>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2,cv,7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</si>
  <si>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Qh,cli,7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</si>
  <si>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Qh,acs,7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</si>
  <si>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</si>
  <si>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</si>
  <si>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</si>
  <si>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</si>
  <si>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</si>
  <si>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</si>
  <si>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</si>
  <si>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</si>
  <si>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</si>
  <si>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</si>
  <si>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</si>
  <si>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</si>
  <si>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</si>
  <si>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</si>
  <si>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</si>
  <si>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</si>
  <si>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</si>
  <si>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</si>
  <si>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1,r,10,8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</si>
  <si>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2,r,10,8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</si>
  <si>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1,r,11,8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</si>
  <si>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2,r,11,8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</si>
  <si>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1,cv,8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</si>
  <si>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2,cv,8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</si>
  <si>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Qh,cli,8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</si>
  <si>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Qh,acs,8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</si>
  <si>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</si>
  <si>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</si>
  <si>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</si>
  <si>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</si>
  <si>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</si>
  <si>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</si>
  <si>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</si>
  <si>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</si>
  <si>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</si>
  <si>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</si>
  <si>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</si>
  <si>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</si>
  <si>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</si>
  <si>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</si>
  <si>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</si>
  <si>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</si>
  <si>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1,cv,9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</si>
  <si>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2,cv,9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</si>
  <si>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Qh,cli,9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</si>
  <si>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Qh,acs,9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</si>
  <si>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</si>
  <si>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</si>
  <si>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</si>
  <si>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</si>
  <si>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</si>
  <si>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</si>
  <si>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</si>
  <si>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</si>
  <si>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</si>
  <si>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</si>
  <si>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1,r,6,10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</si>
  <si>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2,r,6,10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</si>
  <si>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1,r,7,10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</si>
  <si>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2,r,7,10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</si>
  <si>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1,r,8,10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</si>
  <si>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2,r,8,10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</si>
  <si>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1,r,9,10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</si>
  <si>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2,r,9,10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</si>
  <si>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1,cv,10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</si>
  <si>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2,cv,10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</si>
  <si>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Qh,cli,10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</si>
  <si>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Qh,acs,10</t>
    </r>
  </si>
  <si>
    <t>Calcolo delle unità di ripartizione del corpo scaldante 6</t>
  </si>
  <si>
    <t>Calcolo delle unità di ripartizione del corpo scaldante 7</t>
  </si>
  <si>
    <t>Calcolo delle unità di ripartizione del corpo scaldante 8</t>
  </si>
  <si>
    <t>Calcolo delle unità di ripartizione del corpo scaldante 9</t>
  </si>
  <si>
    <t>Calcolo delle unità di ripartizione del corpo scaldante 10</t>
  </si>
  <si>
    <t>Calcolo delle unità di ripartizione del corpo scaldante 11</t>
  </si>
  <si>
    <r>
      <t>ur</t>
    </r>
    <r>
      <rPr>
        <vertAlign val="subscript"/>
        <sz val="11"/>
        <color theme="1"/>
        <rFont val="Calibri"/>
        <family val="2"/>
        <scheme val="minor"/>
      </rPr>
      <t>cs,6,1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</si>
  <si>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</si>
  <si>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</si>
  <si>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</si>
  <si>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cs,10,1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</si>
  <si>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cs,11,1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</si>
  <si>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</si>
  <si>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</si>
  <si>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</si>
  <si>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</si>
  <si>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</si>
  <si>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</si>
  <si>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</si>
  <si>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</si>
  <si>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</si>
  <si>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cs,10,4</t>
    </r>
  </si>
  <si>
    <t>Unità immobiliare 5</t>
  </si>
  <si>
    <t>Unità immobiliare 6</t>
  </si>
  <si>
    <t>Unità immobiliare 7</t>
  </si>
  <si>
    <t>Unità immobiliare 8</t>
  </si>
  <si>
    <t>Unità immobiliare 9</t>
  </si>
  <si>
    <t>Unità immobiliare 10</t>
  </si>
  <si>
    <r>
      <t>ur</t>
    </r>
    <r>
      <rPr>
        <vertAlign val="subscript"/>
        <sz val="11"/>
        <color theme="1"/>
        <rFont val="Calibri"/>
        <family val="2"/>
        <scheme val="minor"/>
      </rPr>
      <t>cs,1,5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</si>
  <si>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</si>
  <si>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</si>
  <si>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</si>
  <si>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</si>
  <si>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</si>
  <si>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</si>
  <si>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</si>
  <si>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cs,9,5</t>
    </r>
  </si>
  <si>
    <r>
      <t>ur</t>
    </r>
    <r>
      <rPr>
        <vertAlign val="subscript"/>
        <sz val="11"/>
        <color theme="1"/>
        <rFont val="Calibri"/>
        <family val="2"/>
        <scheme val="minor"/>
      </rPr>
      <t>5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</si>
  <si>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</si>
  <si>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</si>
  <si>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</si>
  <si>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</si>
  <si>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</si>
  <si>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</si>
  <si>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</si>
  <si>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cs,8,6</t>
    </r>
  </si>
  <si>
    <r>
      <t>ur</t>
    </r>
    <r>
      <rPr>
        <vertAlign val="subscript"/>
        <sz val="11"/>
        <color theme="1"/>
        <rFont val="Calibri"/>
        <family val="2"/>
        <scheme val="minor"/>
      </rPr>
      <t>6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</si>
  <si>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</si>
  <si>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</si>
  <si>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</si>
  <si>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</si>
  <si>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</si>
  <si>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</si>
  <si>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</si>
  <si>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cs,8,7</t>
    </r>
  </si>
  <si>
    <r>
      <t>ur</t>
    </r>
    <r>
      <rPr>
        <vertAlign val="subscript"/>
        <sz val="11"/>
        <color theme="1"/>
        <rFont val="Calibri"/>
        <family val="2"/>
        <scheme val="minor"/>
      </rPr>
      <t>7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</si>
  <si>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</si>
  <si>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</si>
  <si>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</si>
  <si>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</si>
  <si>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</si>
  <si>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</si>
  <si>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</si>
  <si>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</si>
  <si>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</si>
  <si>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cs,10,8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</si>
  <si>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cs,11,8</t>
    </r>
  </si>
  <si>
    <r>
      <t>ur</t>
    </r>
    <r>
      <rPr>
        <vertAlign val="subscript"/>
        <sz val="11"/>
        <color theme="1"/>
        <rFont val="Calibri"/>
        <family val="2"/>
        <scheme val="minor"/>
      </rPr>
      <t>8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</si>
  <si>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</si>
  <si>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</si>
  <si>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</si>
  <si>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</si>
  <si>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</si>
  <si>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</si>
  <si>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</si>
  <si>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cs,8,9</t>
    </r>
  </si>
  <si>
    <r>
      <t>ur</t>
    </r>
    <r>
      <rPr>
        <vertAlign val="subscript"/>
        <sz val="11"/>
        <color theme="1"/>
        <rFont val="Calibri"/>
        <family val="2"/>
        <scheme val="minor"/>
      </rPr>
      <t>9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</si>
  <si>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</si>
  <si>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</si>
  <si>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</si>
  <si>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</si>
  <si>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</si>
  <si>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cs,6,10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</si>
  <si>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cs,7,10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</si>
  <si>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cs,8,10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</si>
  <si>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cs,9,10</t>
    </r>
  </si>
  <si>
    <r>
      <t>ur</t>
    </r>
    <r>
      <rPr>
        <vertAlign val="subscript"/>
        <sz val="11"/>
        <color theme="1"/>
        <rFont val="Calibri"/>
        <family val="2"/>
        <scheme val="minor"/>
      </rPr>
      <t>10</t>
    </r>
  </si>
  <si>
    <t>Unità 5</t>
  </si>
  <si>
    <t>Unità 6</t>
  </si>
  <si>
    <t>Unità 7</t>
  </si>
  <si>
    <t>Unità 8</t>
  </si>
  <si>
    <t>Unità 9</t>
  </si>
  <si>
    <t>Unità 10</t>
  </si>
  <si>
    <r>
      <t xml:space="preserve">Sommatoria delle unità delle singole unità immobiliari = </t>
    </r>
    <r>
      <rPr>
        <sz val="11"/>
        <color theme="1"/>
        <rFont val="Calibri"/>
        <family val="2"/>
      </rPr>
      <t>Σur</t>
    </r>
    <r>
      <rPr>
        <vertAlign val="subscript"/>
        <sz val="11"/>
        <color theme="1"/>
        <rFont val="Calibri"/>
        <family val="2"/>
      </rPr>
      <t>i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</si>
  <si>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ui,cli,5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</si>
  <si>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ui,acs,5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</si>
  <si>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ui,cli,6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</si>
  <si>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ui,acs,6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</si>
  <si>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ui,cli,7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</si>
  <si>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ui,acs,7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</si>
  <si>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ui,cli,8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</si>
  <si>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ui,acs,8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</si>
  <si>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ui,cli,9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</si>
  <si>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ui,acs,9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</si>
  <si>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ui,cli,10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</si>
  <si>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ui,acs,10</t>
    </r>
  </si>
  <si>
    <r>
      <t>m</t>
    </r>
    <r>
      <rPr>
        <sz val="10"/>
        <color theme="1"/>
        <rFont val="Calibri"/>
        <family val="2"/>
        <scheme val="minor"/>
      </rPr>
      <t>v</t>
    </r>
    <r>
      <rPr>
        <sz val="9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=</t>
    </r>
  </si>
  <si>
    <r>
      <rPr>
        <sz val="11"/>
        <color theme="1"/>
        <rFont val="Calibri"/>
        <family val="2"/>
      </rPr>
      <t>θ</t>
    </r>
    <r>
      <rPr>
        <sz val="10"/>
        <color theme="1"/>
        <rFont val="Calibri"/>
        <family val="2"/>
      </rPr>
      <t>acs</t>
    </r>
    <r>
      <rPr>
        <sz val="11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=</t>
    </r>
  </si>
  <si>
    <r>
      <t>q</t>
    </r>
    <r>
      <rPr>
        <sz val="10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 xml:space="preserve">= </t>
    </r>
  </si>
  <si>
    <r>
      <t>θ</t>
    </r>
    <r>
      <rPr>
        <sz val="10"/>
        <color theme="1"/>
        <rFont val="Calibri"/>
        <family val="2"/>
      </rPr>
      <t>f</t>
    </r>
    <r>
      <rPr>
        <sz val="11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=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</si>
  <si>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ui,cli,2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</si>
  <si>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ui,acs,2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</si>
  <si>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p,cli,2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</si>
  <si>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p,acs,2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</si>
  <si>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cli,2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</si>
  <si>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acs,2</t>
    </r>
  </si>
  <si>
    <r>
      <t>S</t>
    </r>
    <r>
      <rPr>
        <vertAlign val="subscript"/>
        <sz val="11"/>
        <color theme="1"/>
        <rFont val="Calibri"/>
        <family val="2"/>
        <scheme val="minor"/>
      </rPr>
      <t>t,2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</si>
  <si>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ui,cli,3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</si>
  <si>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ui,acs,3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</si>
  <si>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p,cli,3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</si>
  <si>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p,acs,3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</si>
  <si>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cli,3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</si>
  <si>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acs,3</t>
    </r>
  </si>
  <si>
    <r>
      <t>S</t>
    </r>
    <r>
      <rPr>
        <vertAlign val="subscript"/>
        <sz val="11"/>
        <color theme="1"/>
        <rFont val="Calibri"/>
        <family val="2"/>
        <scheme val="minor"/>
      </rPr>
      <t>t,3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</si>
  <si>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ui,cli,4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</si>
  <si>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ui,acs,4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</si>
  <si>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p,cli,4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</si>
  <si>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p,acs,4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</si>
  <si>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cli,4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</si>
  <si>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acs,4</t>
    </r>
  </si>
  <si>
    <r>
      <t>S</t>
    </r>
    <r>
      <rPr>
        <vertAlign val="subscript"/>
        <sz val="11"/>
        <color theme="1"/>
        <rFont val="Calibri"/>
        <family val="2"/>
        <scheme val="minor"/>
      </rPr>
      <t>t,4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</si>
  <si>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ui,cli,5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</si>
  <si>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ui,acs,5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</si>
  <si>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p,cli,5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</si>
  <si>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p,acs,5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</si>
  <si>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cli,5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</si>
  <si>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acs,5</t>
    </r>
  </si>
  <si>
    <r>
      <t>S</t>
    </r>
    <r>
      <rPr>
        <vertAlign val="subscript"/>
        <sz val="11"/>
        <color theme="1"/>
        <rFont val="Calibri"/>
        <family val="2"/>
        <scheme val="minor"/>
      </rPr>
      <t>t,5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</si>
  <si>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ui,cli,6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</si>
  <si>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ui,acs,6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</si>
  <si>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p,cli,6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</si>
  <si>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p,acs,6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</si>
  <si>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cli,6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</si>
  <si>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acs,6</t>
    </r>
  </si>
  <si>
    <r>
      <t>S</t>
    </r>
    <r>
      <rPr>
        <vertAlign val="subscript"/>
        <sz val="11"/>
        <color theme="1"/>
        <rFont val="Calibri"/>
        <family val="2"/>
        <scheme val="minor"/>
      </rPr>
      <t>t,6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</si>
  <si>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ui,cli,7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</si>
  <si>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ui,acs,7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</si>
  <si>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p,cli,7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</si>
  <si>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p,acs,7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</si>
  <si>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cli,7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</si>
  <si>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acs,7</t>
    </r>
  </si>
  <si>
    <r>
      <t>S</t>
    </r>
    <r>
      <rPr>
        <vertAlign val="subscript"/>
        <sz val="11"/>
        <color theme="1"/>
        <rFont val="Calibri"/>
        <family val="2"/>
        <scheme val="minor"/>
      </rPr>
      <t>t,7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</si>
  <si>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ui,cli,8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</si>
  <si>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ui,acs,8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</si>
  <si>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p,cli,8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</si>
  <si>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p,acs,8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</si>
  <si>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cli,8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</si>
  <si>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acs,8</t>
    </r>
  </si>
  <si>
    <r>
      <t>S</t>
    </r>
    <r>
      <rPr>
        <vertAlign val="subscript"/>
        <sz val="11"/>
        <color theme="1"/>
        <rFont val="Calibri"/>
        <family val="2"/>
        <scheme val="minor"/>
      </rPr>
      <t>t,8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</si>
  <si>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ui,cli,9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</si>
  <si>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ui,acs,9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</si>
  <si>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p,cli,9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</si>
  <si>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p,acs,9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</si>
  <si>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cli,9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</si>
  <si>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acs,9</t>
    </r>
  </si>
  <si>
    <r>
      <t>S</t>
    </r>
    <r>
      <rPr>
        <vertAlign val="subscript"/>
        <sz val="11"/>
        <color theme="1"/>
        <rFont val="Calibri"/>
        <family val="2"/>
        <scheme val="minor"/>
      </rPr>
      <t>t,9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</si>
  <si>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ui,cli,10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</si>
  <si>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</si>
  <si>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</si>
  <si>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t,10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</si>
  <si>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</si>
  <si>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cli,10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</si>
  <si>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p,acs,10</t>
    </r>
  </si>
  <si>
    <t>Fabbisogno ideale di energia termica utile dell'edificio per climatizzazione invernale nel periodo considerato</t>
  </si>
  <si>
    <t>Frazione del fabbisogno ideale di energia termica utile dell'edificio per climatizzazione invernale da attribuire al consumo involontario                                                                    (coefficiente ricavato dal prospetto 10 della UNI 10200)</t>
  </si>
  <si>
    <r>
      <t>k</t>
    </r>
    <r>
      <rPr>
        <vertAlign val="subscript"/>
        <sz val="11"/>
        <color theme="1"/>
        <rFont val="Calibri"/>
        <family val="2"/>
        <scheme val="minor"/>
      </rPr>
      <t>inv</t>
    </r>
  </si>
  <si>
    <r>
      <t>Q</t>
    </r>
    <r>
      <rPr>
        <vertAlign val="subscript"/>
        <sz val="11"/>
        <color theme="1"/>
        <rFont val="Calibri"/>
        <family val="2"/>
        <scheme val="minor"/>
      </rPr>
      <t>h,id,cli</t>
    </r>
  </si>
  <si>
    <t>Valori da inserire</t>
  </si>
  <si>
    <t xml:space="preserve">Valori da calcolo UNI </t>
  </si>
  <si>
    <t>Generatore riscaldamento</t>
  </si>
  <si>
    <t>Generatore ACS</t>
  </si>
  <si>
    <t>Tipologia prospetto ripartizione spese</t>
  </si>
  <si>
    <t>C</t>
  </si>
  <si>
    <t>totale fabbisogno Risc+Acs</t>
  </si>
  <si>
    <t>kWh o mc</t>
  </si>
  <si>
    <t xml:space="preserve">Kcli = </t>
  </si>
  <si>
    <t>kacs =</t>
  </si>
  <si>
    <t>Unità immobiliare 1 - ALBERIZZI</t>
  </si>
  <si>
    <t>Unità immobiliare 2 - PISANI</t>
  </si>
  <si>
    <t>Unità immobiliare 3 - APONE</t>
  </si>
  <si>
    <t>Unità immobiliare 4 - BADINI</t>
  </si>
  <si>
    <t>Unità immobiliare 5 - BARBIERI</t>
  </si>
  <si>
    <t>Unità immobiliare 6 - LANDI</t>
  </si>
  <si>
    <t>Unità immobiliare 7 - BELLOMI</t>
  </si>
  <si>
    <t>Unità immobiliare 8 - BERTUCCA</t>
  </si>
  <si>
    <t>Unità immobiliare 9 - BLEJUT</t>
  </si>
  <si>
    <t>Unità immobiliare 10 - BOLLANI</t>
  </si>
  <si>
    <t>ALBERIZZI/PICCIRILLI</t>
  </si>
  <si>
    <r>
      <rPr>
        <sz val="8.5"/>
        <rFont val="Tahoma"/>
        <family val="2"/>
      </rPr>
      <t>ALBERIZZI/PISANI</t>
    </r>
  </si>
  <si>
    <r>
      <rPr>
        <sz val="8.5"/>
        <rFont val="Tahoma"/>
        <family val="2"/>
      </rPr>
      <t>APONE GIULIO</t>
    </r>
  </si>
  <si>
    <r>
      <rPr>
        <sz val="8.5"/>
        <rFont val="Tahoma"/>
        <family val="2"/>
      </rPr>
      <t>BADINI MARCO</t>
    </r>
  </si>
  <si>
    <r>
      <rPr>
        <sz val="8.5"/>
        <rFont val="Tahoma"/>
        <family val="2"/>
      </rPr>
      <t>BARBIERI MARCO</t>
    </r>
  </si>
  <si>
    <r>
      <rPr>
        <sz val="8.5"/>
        <rFont val="Tahoma"/>
        <family val="2"/>
      </rPr>
      <t>LANDI FRANCA</t>
    </r>
  </si>
  <si>
    <r>
      <rPr>
        <sz val="8.5"/>
        <rFont val="Tahoma"/>
        <family val="2"/>
      </rPr>
      <t>BELLOMI VIVIANA</t>
    </r>
  </si>
  <si>
    <r>
      <rPr>
        <sz val="8.5"/>
        <rFont val="Tahoma"/>
        <family val="2"/>
      </rPr>
      <t>BERTUCCA IVAN</t>
    </r>
  </si>
  <si>
    <r>
      <rPr>
        <sz val="8.5"/>
        <rFont val="Tahoma"/>
        <family val="2"/>
      </rPr>
      <t>BLEJUT STEFAN</t>
    </r>
  </si>
  <si>
    <r>
      <rPr>
        <sz val="8.5"/>
        <rFont val="Tahoma"/>
        <family val="2"/>
      </rPr>
      <t>BOLLANI ANGELINA</t>
    </r>
  </si>
  <si>
    <r>
      <rPr>
        <sz val="8.5"/>
        <rFont val="Tahoma"/>
        <family val="2"/>
      </rPr>
      <t>CARENZIO ADRIANO</t>
    </r>
  </si>
  <si>
    <r>
      <rPr>
        <sz val="8.5"/>
        <rFont val="Tahoma"/>
        <family val="2"/>
      </rPr>
      <t>CASSE'/PEZZINI</t>
    </r>
  </si>
  <si>
    <r>
      <rPr>
        <sz val="8.5"/>
        <rFont val="Tahoma"/>
        <family val="2"/>
      </rPr>
      <t>CASSE' NATALIA</t>
    </r>
  </si>
  <si>
    <r>
      <rPr>
        <sz val="8.5"/>
        <rFont val="Tahoma"/>
        <family val="2"/>
      </rPr>
      <t>RIZZI/CAVALLOTTI</t>
    </r>
  </si>
  <si>
    <r>
      <rPr>
        <sz val="8.5"/>
        <rFont val="Tahoma"/>
        <family val="2"/>
      </rPr>
      <t>CAJA EMILIO LUIGI</t>
    </r>
  </si>
  <si>
    <r>
      <rPr>
        <sz val="8.5"/>
        <rFont val="Tahoma"/>
        <family val="2"/>
      </rPr>
      <t>DE SANTOLO/CEVARZERE</t>
    </r>
  </si>
  <si>
    <r>
      <rPr>
        <sz val="8.5"/>
        <rFont val="Tahoma"/>
        <family val="2"/>
      </rPr>
      <t>CIVARDI MIRELLA</t>
    </r>
  </si>
  <si>
    <r>
      <rPr>
        <sz val="8.5"/>
        <rFont val="Tahoma"/>
        <family val="2"/>
      </rPr>
      <t>CRISTIANI SERGIO</t>
    </r>
  </si>
  <si>
    <r>
      <rPr>
        <sz val="8.5"/>
        <rFont val="Tahoma"/>
        <family val="2"/>
      </rPr>
      <t>D'ACUTO ANTONIO</t>
    </r>
  </si>
  <si>
    <r>
      <rPr>
        <sz val="8.5"/>
        <rFont val="Tahoma"/>
        <family val="2"/>
      </rPr>
      <t>DEL PRETE/STASI</t>
    </r>
  </si>
  <si>
    <r>
      <rPr>
        <sz val="8.5"/>
        <rFont val="Tahoma"/>
        <family val="2"/>
      </rPr>
      <t>FERRARI CLAUDIA</t>
    </r>
  </si>
  <si>
    <r>
      <rPr>
        <sz val="8.5"/>
        <rFont val="Tahoma"/>
        <family val="2"/>
      </rPr>
      <t>GALLI DONATELLA</t>
    </r>
  </si>
  <si>
    <r>
      <rPr>
        <sz val="8.5"/>
        <rFont val="Tahoma"/>
        <family val="2"/>
      </rPr>
      <t>MAGLIONA CATERINA</t>
    </r>
  </si>
  <si>
    <r>
      <rPr>
        <sz val="8.5"/>
        <rFont val="Tahoma"/>
        <family val="2"/>
      </rPr>
      <t>MARCONI ANNA</t>
    </r>
  </si>
  <si>
    <r>
      <rPr>
        <sz val="8.5"/>
        <rFont val="Tahoma"/>
        <family val="2"/>
      </rPr>
      <t>FIORINO GIOVANNA</t>
    </r>
  </si>
  <si>
    <r>
      <rPr>
        <sz val="8.5"/>
        <rFont val="Tahoma"/>
        <family val="2"/>
      </rPr>
      <t>MORISETTI/FERRARI</t>
    </r>
  </si>
  <si>
    <r>
      <rPr>
        <sz val="8.5"/>
        <rFont val="Tahoma"/>
        <family val="2"/>
      </rPr>
      <t>NARATONE SANPIETRO</t>
    </r>
  </si>
  <si>
    <r>
      <rPr>
        <sz val="8.5"/>
        <rFont val="Tahoma"/>
        <family val="2"/>
      </rPr>
      <t>PAINELLI GIUSEPPE</t>
    </r>
  </si>
  <si>
    <r>
      <rPr>
        <sz val="8.5"/>
        <rFont val="Tahoma"/>
        <family val="2"/>
      </rPr>
      <t>PALADINI PIETRO</t>
    </r>
  </si>
  <si>
    <r>
      <rPr>
        <sz val="8.5"/>
        <rFont val="Tahoma"/>
        <family val="2"/>
      </rPr>
      <t>PANIGAZZI/LODOLA</t>
    </r>
  </si>
  <si>
    <r>
      <rPr>
        <sz val="8.5"/>
        <rFont val="Tahoma"/>
        <family val="2"/>
      </rPr>
      <t>PISOTTI FABRIZIO</t>
    </r>
  </si>
  <si>
    <r>
      <rPr>
        <sz val="8.5"/>
        <rFont val="Tahoma"/>
        <family val="2"/>
      </rPr>
      <t>RIBONI ALBERTO</t>
    </r>
  </si>
  <si>
    <r>
      <rPr>
        <sz val="8.5"/>
        <rFont val="Tahoma"/>
        <family val="2"/>
      </rPr>
      <t>ROSSANIGO/RIBONI</t>
    </r>
  </si>
  <si>
    <r>
      <rPr>
        <sz val="8.5"/>
        <rFont val="Tahoma"/>
        <family val="2"/>
      </rPr>
      <t>DE SANTOLO/ROVEDA</t>
    </r>
  </si>
  <si>
    <r>
      <rPr>
        <sz val="8.5"/>
        <rFont val="Tahoma"/>
        <family val="2"/>
      </rPr>
      <t>SACCHI ORAZIO</t>
    </r>
  </si>
  <si>
    <r>
      <rPr>
        <sz val="8.5"/>
        <rFont val="Tahoma"/>
        <family val="2"/>
      </rPr>
      <t>SALERNO ROSELLA MARIA</t>
    </r>
  </si>
  <si>
    <r>
      <rPr>
        <sz val="8.5"/>
        <rFont val="Tahoma"/>
        <family val="2"/>
      </rPr>
      <t>SESTITO ANTONIO</t>
    </r>
  </si>
  <si>
    <r>
      <rPr>
        <sz val="8.5"/>
        <rFont val="Tahoma"/>
        <family val="2"/>
      </rPr>
      <t>SPAIRANI RICCARDO</t>
    </r>
  </si>
  <si>
    <r>
      <rPr>
        <sz val="8.5"/>
        <rFont val="Tahoma"/>
        <family val="2"/>
      </rPr>
      <t>SUPERMERCATO</t>
    </r>
  </si>
  <si>
    <r>
      <rPr>
        <sz val="8.5"/>
        <rFont val="Tahoma"/>
        <family val="2"/>
      </rPr>
      <t>TOGNOLI MARIA</t>
    </r>
  </si>
  <si>
    <r>
      <rPr>
        <sz val="8.5"/>
        <rFont val="Tahoma"/>
        <family val="2"/>
      </rPr>
      <t>URBANI TERESIO</t>
    </r>
  </si>
  <si>
    <r>
      <rPr>
        <sz val="8.5"/>
        <rFont val="Tahoma"/>
        <family val="2"/>
      </rPr>
      <t>VERRI RITA</t>
    </r>
  </si>
  <si>
    <r>
      <rPr>
        <sz val="8.5"/>
        <rFont val="Tahoma"/>
        <family val="2"/>
      </rPr>
      <t>WANG JUNYI</t>
    </r>
  </si>
  <si>
    <r>
      <rPr>
        <sz val="8.5"/>
        <rFont val="Tahoma"/>
        <family val="2"/>
      </rPr>
      <t>ZABORRA MARIO</t>
    </r>
  </si>
  <si>
    <r>
      <rPr>
        <sz val="8.5"/>
        <rFont val="Tahoma"/>
        <family val="2"/>
      </rPr>
      <t>ZOCCALI FABIO</t>
    </r>
  </si>
  <si>
    <t>TOTALE</t>
  </si>
  <si>
    <t>RISC</t>
  </si>
  <si>
    <t>ACS</t>
  </si>
  <si>
    <t>Totale</t>
  </si>
  <si>
    <t>Condomino</t>
  </si>
  <si>
    <t>Rilevatori</t>
  </si>
  <si>
    <t>Millesimi</t>
  </si>
  <si>
    <t>Millesimi ACS</t>
  </si>
  <si>
    <t>Consumi (kWh)</t>
  </si>
  <si>
    <t>Consumi ACS (kWh)</t>
  </si>
  <si>
    <t>Letture</t>
  </si>
  <si>
    <t>Letture ACS</t>
  </si>
  <si>
    <t>Totale ACS</t>
  </si>
  <si>
    <t>alberizzi / piccirilli</t>
  </si>
  <si>
    <t>ALBERIZZI/PISANI- Inq. APONE CLAUDIO</t>
  </si>
  <si>
    <t>APONE GIULIO</t>
  </si>
  <si>
    <t>BADINI</t>
  </si>
  <si>
    <t>BARBIERI</t>
  </si>
  <si>
    <t>BATTISTOTTI / LANDI</t>
  </si>
  <si>
    <t>BELLOMI viviana</t>
  </si>
  <si>
    <t>BERTUCCA IVAN</t>
  </si>
  <si>
    <t>BLEJUT STEFAN</t>
  </si>
  <si>
    <t>BOLLANI angelina</t>
  </si>
  <si>
    <t>CARENZIO - Inq.PAJERO</t>
  </si>
  <si>
    <t>CASSE'' INQ. PEZZINI</t>
  </si>
  <si>
    <t>CASSE natalia</t>
  </si>
  <si>
    <t>CAVALLOTTI / rizzi</t>
  </si>
  <si>
    <t>CAYA</t>
  </si>
  <si>
    <t>CEVARZERE</t>
  </si>
  <si>
    <t>civardi</t>
  </si>
  <si>
    <t>CRISTIANI SERGIO Inq.MARZO</t>
  </si>
  <si>
    <t>D''ACUTO ANTONIO</t>
  </si>
  <si>
    <t>DEL PRETE FRANCESCO</t>
  </si>
  <si>
    <t>FERRARI</t>
  </si>
  <si>
    <t>GALLI DONATELLA</t>
  </si>
  <si>
    <t>MAGLIONA CATERINA</t>
  </si>
  <si>
    <t>MARCONI anna</t>
  </si>
  <si>
    <t>MASCHERPA / fiorino - Inq.PROVELLI</t>
  </si>
  <si>
    <t>MORISETTI</t>
  </si>
  <si>
    <t>naratone san pietro</t>
  </si>
  <si>
    <t>PAINELLI/CAPSONI</t>
  </si>
  <si>
    <t>paladini</t>
  </si>
  <si>
    <t>PANIGAZZI / lodola</t>
  </si>
  <si>
    <t>PISOTTI</t>
  </si>
  <si>
    <t>RIBONI</t>
  </si>
  <si>
    <t>rossanigo inq. GUTIERREZ</t>
  </si>
  <si>
    <t>ROVEDA / de santolo</t>
  </si>
  <si>
    <t>SACCHI</t>
  </si>
  <si>
    <t>SALERNO</t>
  </si>
  <si>
    <t>SESTITO</t>
  </si>
  <si>
    <t>SPAIRANI</t>
  </si>
  <si>
    <t>SUPER MARKET</t>
  </si>
  <si>
    <t>TOGNOLI</t>
  </si>
  <si>
    <t>URBANI TERESIO</t>
  </si>
  <si>
    <t>verri</t>
  </si>
  <si>
    <t>WANG JUNYI</t>
  </si>
  <si>
    <t>ZABORRA - inq. psiuk</t>
  </si>
  <si>
    <t>ZOCCALI FABIO</t>
  </si>
  <si>
    <t>Totale Riscaldamento</t>
  </si>
  <si>
    <t>Mill Clima</t>
  </si>
  <si>
    <t>Mill ACS</t>
  </si>
  <si>
    <t>Unità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</si>
</sst>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9" formatCode="#,##0.00\ [$€-1];[Red]\-#,##0.00\ [$€-1]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9"/>
      <color indexed="81"/>
      <name val="Tahoma"/>
      <charset val="1"/>
    </font>
    <font>
      <sz val="8.5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/>
    <xf numFmtId="0" fontId="0" fillId="2" borderId="0" xfId="0" applyFill="1"/>
    <xf numFmtId="0" fontId="0" fillId="3" borderId="0" xfId="0" applyFill="1"/>
    <xf numFmtId="43" fontId="0" fillId="3" borderId="0" xfId="1" applyFont="1" applyFill="1" applyAlignment="1"/>
    <xf numFmtId="0" fontId="0" fillId="3" borderId="1" xfId="0" applyFill="1" applyBorder="1"/>
    <xf numFmtId="0" fontId="0" fillId="2" borderId="1" xfId="0" applyFill="1" applyBorder="1"/>
    <xf numFmtId="0" fontId="0" fillId="2" borderId="0" xfId="0" applyFill="1" applyBorder="1"/>
    <xf numFmtId="0" fontId="0" fillId="2" borderId="0" xfId="0" applyFill="1" applyAlignment="1"/>
    <xf numFmtId="0" fontId="0" fillId="0" borderId="1" xfId="0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5" fillId="0" borderId="0" xfId="0" applyFont="1" applyAlignment="1">
      <alignment horizontal="left" vertical="center" indent="1"/>
    </xf>
    <xf numFmtId="169" fontId="0" fillId="0" borderId="0" xfId="0" applyNumberFormat="1"/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4" fontId="0" fillId="0" borderId="0" xfId="0" applyNumberFormat="1"/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4" fontId="13" fillId="0" borderId="0" xfId="0" applyNumberFormat="1" applyFont="1"/>
    <xf numFmtId="2" fontId="0" fillId="3" borderId="0" xfId="0" applyNumberFormat="1" applyFill="1"/>
    <xf numFmtId="0" fontId="0" fillId="0" borderId="0" xfId="0" applyFill="1"/>
    <xf numFmtId="2" fontId="15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horizontal="center" vertical="center" wrapText="1"/>
    </xf>
    <xf numFmtId="4" fontId="16" fillId="0" borderId="0" xfId="0" applyNumberFormat="1" applyFont="1" applyFill="1" applyAlignment="1">
      <alignment horizontal="center" vertical="center" wrapText="1"/>
    </xf>
    <xf numFmtId="169" fontId="16" fillId="0" borderId="0" xfId="0" applyNumberFormat="1" applyFont="1" applyAlignment="1">
      <alignment horizontal="center" vertical="center" wrapText="1"/>
    </xf>
    <xf numFmtId="169" fontId="16" fillId="0" borderId="0" xfId="0" applyNumberFormat="1" applyFont="1" applyFill="1" applyAlignment="1">
      <alignment horizontal="center" vertical="center" wrapText="1"/>
    </xf>
    <xf numFmtId="169" fontId="15" fillId="0" borderId="0" xfId="0" applyNumberFormat="1" applyFont="1" applyAlignment="1">
      <alignment horizontal="center" vertical="center"/>
    </xf>
    <xf numFmtId="2" fontId="0" fillId="2" borderId="0" xfId="0" applyNumberFormat="1" applyFill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workbookViewId="0">
      <selection activeCell="I13" sqref="I13"/>
    </sheetView>
  </sheetViews>
  <sheetFormatPr defaultRowHeight="15" x14ac:dyDescent="0.25"/>
  <cols>
    <col min="7" max="7" width="23.42578125" customWidth="1"/>
    <col min="9" max="9" width="11.42578125" customWidth="1"/>
    <col min="10" max="10" width="16.5703125" customWidth="1"/>
  </cols>
  <sheetData>
    <row r="1" spans="1:11" x14ac:dyDescent="0.25">
      <c r="A1" s="19" t="s">
        <v>618</v>
      </c>
      <c r="B1" s="19"/>
      <c r="C1" s="19"/>
      <c r="D1" s="19"/>
      <c r="E1" s="19"/>
      <c r="F1" s="19"/>
      <c r="G1" s="19"/>
      <c r="I1" s="19" t="s">
        <v>619</v>
      </c>
      <c r="J1" s="19"/>
    </row>
    <row r="2" spans="1:11" x14ac:dyDescent="0.25">
      <c r="A2" s="21" t="s">
        <v>21</v>
      </c>
      <c r="B2" s="21"/>
      <c r="C2" s="21"/>
      <c r="D2" s="21"/>
      <c r="E2" s="21"/>
      <c r="F2" s="21"/>
      <c r="G2" s="21"/>
      <c r="I2" s="19"/>
      <c r="J2" s="19"/>
      <c r="K2" s="19"/>
    </row>
    <row r="3" spans="1:11" x14ac:dyDescent="0.25">
      <c r="A3" s="21" t="s">
        <v>19</v>
      </c>
      <c r="B3" s="21"/>
      <c r="C3" s="21"/>
      <c r="D3" s="21"/>
      <c r="E3" s="21"/>
      <c r="F3" s="21"/>
      <c r="G3" s="21"/>
      <c r="I3" s="19" t="s">
        <v>22</v>
      </c>
      <c r="J3" s="19"/>
      <c r="K3" s="1"/>
    </row>
    <row r="4" spans="1:11" x14ac:dyDescent="0.25">
      <c r="A4" s="21" t="s">
        <v>20</v>
      </c>
      <c r="B4" s="21"/>
      <c r="C4" s="21"/>
      <c r="D4" s="21"/>
      <c r="E4" s="21"/>
      <c r="F4" s="21"/>
      <c r="G4" s="21"/>
      <c r="I4" s="19" t="s">
        <v>23</v>
      </c>
      <c r="J4" s="19"/>
      <c r="K4" s="1"/>
    </row>
    <row r="5" spans="1:11" ht="49.5" customHeight="1" x14ac:dyDescent="0.25">
      <c r="A5" s="22" t="s">
        <v>0</v>
      </c>
      <c r="B5" s="22"/>
      <c r="C5" s="22"/>
      <c r="D5" s="22"/>
      <c r="E5" s="22"/>
      <c r="F5" s="22"/>
      <c r="G5" s="22"/>
      <c r="I5" s="20" t="s">
        <v>24</v>
      </c>
      <c r="J5" s="20"/>
    </row>
    <row r="6" spans="1:11" x14ac:dyDescent="0.25">
      <c r="A6" s="21" t="s">
        <v>1</v>
      </c>
      <c r="B6" s="21"/>
      <c r="C6" s="21"/>
      <c r="D6" s="21"/>
      <c r="E6" s="21"/>
      <c r="F6" s="21"/>
      <c r="G6" s="21"/>
      <c r="I6" s="20" t="s">
        <v>25</v>
      </c>
      <c r="J6" s="20"/>
    </row>
    <row r="7" spans="1:11" x14ac:dyDescent="0.25">
      <c r="A7" s="21" t="s">
        <v>2</v>
      </c>
      <c r="B7" s="21"/>
      <c r="C7" s="21"/>
      <c r="D7" s="21"/>
      <c r="E7" s="21"/>
      <c r="F7" s="21"/>
      <c r="G7" s="21"/>
      <c r="I7" s="19">
        <v>10</v>
      </c>
      <c r="J7" s="19"/>
    </row>
    <row r="8" spans="1:11" x14ac:dyDescent="0.25">
      <c r="A8" s="21" t="s">
        <v>3</v>
      </c>
      <c r="B8" s="21"/>
      <c r="C8" s="21"/>
      <c r="D8" s="21"/>
      <c r="E8" s="21"/>
      <c r="F8" s="21"/>
      <c r="G8" s="21"/>
      <c r="I8" s="19">
        <v>0</v>
      </c>
      <c r="J8" s="19"/>
    </row>
    <row r="9" spans="1:11" ht="34.5" customHeight="1" x14ac:dyDescent="0.25">
      <c r="A9" s="21" t="s">
        <v>4</v>
      </c>
      <c r="B9" s="21"/>
      <c r="C9" s="21"/>
      <c r="D9" s="21"/>
      <c r="E9" s="21"/>
      <c r="F9" s="21"/>
      <c r="G9" s="21"/>
      <c r="I9" s="19" t="s">
        <v>26</v>
      </c>
      <c r="J9" s="19"/>
    </row>
    <row r="10" spans="1:11" ht="33" customHeight="1" x14ac:dyDescent="0.25">
      <c r="A10" s="21" t="s">
        <v>5</v>
      </c>
      <c r="B10" s="21"/>
      <c r="C10" s="21"/>
      <c r="D10" s="21"/>
      <c r="E10" s="21"/>
      <c r="F10" s="21"/>
      <c r="G10" s="21"/>
      <c r="I10" s="19" t="s">
        <v>27</v>
      </c>
      <c r="J10" s="19"/>
    </row>
    <row r="11" spans="1:11" x14ac:dyDescent="0.25">
      <c r="A11" s="21" t="s">
        <v>6</v>
      </c>
      <c r="B11" s="21"/>
      <c r="C11" s="21"/>
      <c r="D11" s="21"/>
      <c r="E11" s="21"/>
      <c r="F11" s="21"/>
      <c r="G11" s="21"/>
      <c r="I11" s="19" t="s">
        <v>28</v>
      </c>
      <c r="J11" s="19"/>
    </row>
    <row r="12" spans="1:11" ht="35.25" customHeight="1" x14ac:dyDescent="0.35">
      <c r="A12" s="21" t="s">
        <v>7</v>
      </c>
      <c r="B12" s="21"/>
      <c r="C12" s="21"/>
      <c r="D12" s="21"/>
      <c r="E12" s="21"/>
      <c r="F12" s="21"/>
      <c r="G12" s="21"/>
      <c r="H12" t="s">
        <v>18</v>
      </c>
      <c r="I12" s="20" t="s">
        <v>29</v>
      </c>
      <c r="J12" s="20"/>
    </row>
    <row r="13" spans="1:11" ht="18" x14ac:dyDescent="0.35">
      <c r="A13" s="21" t="s">
        <v>8</v>
      </c>
      <c r="B13" s="21"/>
      <c r="C13" s="21"/>
      <c r="D13" s="21"/>
      <c r="E13" s="21"/>
      <c r="F13" s="21"/>
      <c r="G13" s="21"/>
      <c r="H13" t="s">
        <v>17</v>
      </c>
      <c r="I13" s="10">
        <v>1892</v>
      </c>
      <c r="J13" t="s">
        <v>31</v>
      </c>
    </row>
    <row r="14" spans="1:11" ht="18" x14ac:dyDescent="0.35">
      <c r="A14" s="21" t="s">
        <v>9</v>
      </c>
      <c r="B14" s="21"/>
      <c r="C14" s="21"/>
      <c r="D14" s="21"/>
      <c r="E14" s="21"/>
      <c r="F14" s="21"/>
      <c r="G14" s="21"/>
      <c r="H14" t="s">
        <v>16</v>
      </c>
      <c r="I14" s="10">
        <v>1376.16</v>
      </c>
      <c r="J14" t="s">
        <v>31</v>
      </c>
    </row>
    <row r="15" spans="1:11" ht="18" x14ac:dyDescent="0.35">
      <c r="A15" s="21" t="s">
        <v>10</v>
      </c>
      <c r="B15" s="21"/>
      <c r="C15" s="21"/>
      <c r="D15" s="21"/>
      <c r="E15" s="21"/>
      <c r="F15" s="21"/>
      <c r="G15" s="21"/>
      <c r="H15" t="s">
        <v>15</v>
      </c>
      <c r="I15" s="14">
        <v>126203.13</v>
      </c>
      <c r="J15" t="s">
        <v>30</v>
      </c>
    </row>
    <row r="16" spans="1:11" ht="18" x14ac:dyDescent="0.35">
      <c r="A16" s="21" t="s">
        <v>11</v>
      </c>
      <c r="B16" s="21"/>
      <c r="C16" s="21"/>
      <c r="D16" s="21"/>
      <c r="E16" s="21"/>
      <c r="F16" s="21"/>
      <c r="G16" s="21"/>
      <c r="H16" t="s">
        <v>14</v>
      </c>
      <c r="I16" s="13">
        <v>470907.21</v>
      </c>
      <c r="J16" t="s">
        <v>30</v>
      </c>
    </row>
    <row r="17" spans="1:10" ht="18" x14ac:dyDescent="0.35">
      <c r="A17" s="21" t="s">
        <v>12</v>
      </c>
      <c r="B17" s="21"/>
      <c r="C17" s="21"/>
      <c r="D17" s="21"/>
      <c r="E17" s="21"/>
      <c r="F17" s="21"/>
      <c r="G17" s="21"/>
      <c r="H17" t="s">
        <v>13</v>
      </c>
      <c r="I17" s="13">
        <v>55741.77</v>
      </c>
      <c r="J17" t="s">
        <v>30</v>
      </c>
    </row>
    <row r="18" spans="1:10" ht="30" customHeight="1" x14ac:dyDescent="0.35">
      <c r="A18" s="21" t="s">
        <v>610</v>
      </c>
      <c r="B18" s="21"/>
      <c r="C18" s="21"/>
      <c r="D18" s="21"/>
      <c r="E18" s="21"/>
      <c r="F18" s="21"/>
      <c r="G18" s="21"/>
      <c r="H18" t="s">
        <v>613</v>
      </c>
      <c r="I18" s="14">
        <v>282661.63</v>
      </c>
      <c r="J18" t="s">
        <v>30</v>
      </c>
    </row>
    <row r="19" spans="1:10" ht="43.5" customHeight="1" x14ac:dyDescent="0.35">
      <c r="A19" s="20" t="s">
        <v>611</v>
      </c>
      <c r="B19" s="20"/>
      <c r="C19" s="20"/>
      <c r="D19" s="20"/>
      <c r="E19" s="20"/>
      <c r="F19" s="20"/>
      <c r="G19" s="20"/>
      <c r="H19" t="s">
        <v>612</v>
      </c>
      <c r="I19" s="14"/>
    </row>
    <row r="22" spans="1:10" x14ac:dyDescent="0.25">
      <c r="A22" s="11"/>
      <c r="B22" s="23" t="s">
        <v>614</v>
      </c>
      <c r="C22" s="23"/>
      <c r="D22" s="23"/>
      <c r="E22" s="23"/>
    </row>
    <row r="23" spans="1:10" x14ac:dyDescent="0.25">
      <c r="A23" s="12"/>
      <c r="B23" s="23" t="s">
        <v>615</v>
      </c>
      <c r="C23" s="23"/>
      <c r="D23" s="23"/>
      <c r="E23" s="23"/>
    </row>
  </sheetData>
  <mergeCells count="33">
    <mergeCell ref="B22:E22"/>
    <mergeCell ref="B23:E23"/>
    <mergeCell ref="A1:G1"/>
    <mergeCell ref="I1:J1"/>
    <mergeCell ref="A17:G17"/>
    <mergeCell ref="A10:G10"/>
    <mergeCell ref="A11:G11"/>
    <mergeCell ref="A12:G12"/>
    <mergeCell ref="A13:G13"/>
    <mergeCell ref="A14:G14"/>
    <mergeCell ref="A15:G15"/>
    <mergeCell ref="I2:K2"/>
    <mergeCell ref="A3:G3"/>
    <mergeCell ref="A4:G4"/>
    <mergeCell ref="I3:J3"/>
    <mergeCell ref="I4:J4"/>
    <mergeCell ref="A2:G2"/>
    <mergeCell ref="A18:G18"/>
    <mergeCell ref="A19:G19"/>
    <mergeCell ref="A5:G5"/>
    <mergeCell ref="A6:G6"/>
    <mergeCell ref="A7:G7"/>
    <mergeCell ref="A8:G8"/>
    <mergeCell ref="A9:G9"/>
    <mergeCell ref="A16:G16"/>
    <mergeCell ref="I11:J11"/>
    <mergeCell ref="I12:J12"/>
    <mergeCell ref="I5:J5"/>
    <mergeCell ref="I6:J6"/>
    <mergeCell ref="I7:J7"/>
    <mergeCell ref="I8:J8"/>
    <mergeCell ref="I9:J9"/>
    <mergeCell ref="I10:J10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F11" sqref="F11"/>
    </sheetView>
  </sheetViews>
  <sheetFormatPr defaultRowHeight="15" x14ac:dyDescent="0.25"/>
  <cols>
    <col min="4" max="4" width="32.5703125" customWidth="1"/>
    <col min="8" max="8" width="2.85546875" customWidth="1"/>
    <col min="9" max="9" width="6.140625" bestFit="1" customWidth="1"/>
  </cols>
  <sheetData>
    <row r="1" spans="1:10" x14ac:dyDescent="0.25">
      <c r="A1" s="19" t="s">
        <v>47</v>
      </c>
      <c r="B1" s="19"/>
      <c r="C1" s="19"/>
      <c r="D1" s="19"/>
      <c r="E1" s="19"/>
      <c r="F1" s="19"/>
      <c r="G1" s="19"/>
      <c r="H1" s="6"/>
    </row>
    <row r="2" spans="1:10" ht="18" x14ac:dyDescent="0.35">
      <c r="A2" s="24" t="s">
        <v>32</v>
      </c>
      <c r="B2" s="24"/>
      <c r="C2" s="24"/>
      <c r="D2" s="24"/>
      <c r="E2" t="s">
        <v>37</v>
      </c>
      <c r="F2" s="9">
        <v>0</v>
      </c>
      <c r="G2" t="s">
        <v>42</v>
      </c>
    </row>
    <row r="3" spans="1:10" ht="18" x14ac:dyDescent="0.35">
      <c r="A3" s="24" t="s">
        <v>33</v>
      </c>
      <c r="B3" s="24"/>
      <c r="C3" s="24"/>
      <c r="D3" s="24"/>
      <c r="E3" t="s">
        <v>38</v>
      </c>
      <c r="F3" s="9">
        <v>36124</v>
      </c>
      <c r="G3" t="s">
        <v>42</v>
      </c>
    </row>
    <row r="4" spans="1:10" ht="18" x14ac:dyDescent="0.35">
      <c r="A4" s="24" t="s">
        <v>34</v>
      </c>
      <c r="B4" s="24"/>
      <c r="C4" s="24"/>
      <c r="D4" s="24"/>
      <c r="E4" t="s">
        <v>39</v>
      </c>
      <c r="F4" s="8">
        <v>51094.779000000002</v>
      </c>
      <c r="G4" t="s">
        <v>621</v>
      </c>
      <c r="I4" t="s">
        <v>622</v>
      </c>
      <c r="J4">
        <f>F4/(F4+F5)</f>
        <v>0.86493856852834905</v>
      </c>
    </row>
    <row r="5" spans="1:10" ht="18" x14ac:dyDescent="0.35">
      <c r="A5" s="24" t="s">
        <v>35</v>
      </c>
      <c r="B5" s="24"/>
      <c r="C5" s="24"/>
      <c r="D5" s="24"/>
      <c r="E5" t="s">
        <v>40</v>
      </c>
      <c r="F5" s="48">
        <v>7978.5249999999996</v>
      </c>
      <c r="G5" t="s">
        <v>621</v>
      </c>
      <c r="I5" t="s">
        <v>623</v>
      </c>
      <c r="J5">
        <f>F5/(F4+F5)</f>
        <v>0.13506143147165087</v>
      </c>
    </row>
    <row r="6" spans="1:10" ht="18" x14ac:dyDescent="0.35">
      <c r="A6" s="24" t="s">
        <v>36</v>
      </c>
      <c r="B6" s="24"/>
      <c r="C6" s="24"/>
      <c r="D6" s="24"/>
      <c r="E6" t="s">
        <v>41</v>
      </c>
      <c r="F6" s="9">
        <v>0.92510000000000003</v>
      </c>
      <c r="G6" t="s">
        <v>43</v>
      </c>
    </row>
    <row r="8" spans="1:10" x14ac:dyDescent="0.25">
      <c r="A8" s="19" t="s">
        <v>44</v>
      </c>
      <c r="B8" s="19"/>
      <c r="C8" s="19"/>
      <c r="D8" s="19"/>
      <c r="E8" s="19"/>
      <c r="F8" s="19"/>
      <c r="G8" s="19"/>
      <c r="H8" s="6"/>
    </row>
    <row r="9" spans="1:10" ht="18" x14ac:dyDescent="0.35">
      <c r="A9" s="24" t="s">
        <v>45</v>
      </c>
      <c r="B9" s="24"/>
      <c r="C9" s="24"/>
      <c r="D9" s="24"/>
      <c r="E9" t="s">
        <v>99</v>
      </c>
      <c r="F9" s="9">
        <v>0</v>
      </c>
      <c r="G9" t="s">
        <v>30</v>
      </c>
    </row>
    <row r="10" spans="1:10" ht="18" x14ac:dyDescent="0.35">
      <c r="A10" s="24" t="s">
        <v>46</v>
      </c>
      <c r="B10" s="24"/>
      <c r="C10" s="24"/>
      <c r="D10" s="24"/>
      <c r="E10" t="s">
        <v>100</v>
      </c>
      <c r="F10" s="9">
        <v>4750.76</v>
      </c>
      <c r="G10" t="s">
        <v>30</v>
      </c>
    </row>
    <row r="11" spans="1:10" ht="18" x14ac:dyDescent="0.35">
      <c r="A11" s="24" t="s">
        <v>34</v>
      </c>
      <c r="B11" s="24"/>
      <c r="C11" s="24"/>
      <c r="D11" s="24"/>
      <c r="E11" t="s">
        <v>101</v>
      </c>
      <c r="F11" s="48">
        <v>4271.2</v>
      </c>
      <c r="G11" t="s">
        <v>30</v>
      </c>
      <c r="I11" t="s">
        <v>622</v>
      </c>
      <c r="J11">
        <f>F11/(F11+F12)</f>
        <v>0.57709170748184424</v>
      </c>
    </row>
    <row r="12" spans="1:10" ht="18" x14ac:dyDescent="0.35">
      <c r="A12" s="24" t="s">
        <v>35</v>
      </c>
      <c r="B12" s="24"/>
      <c r="C12" s="24"/>
      <c r="D12" s="24"/>
      <c r="E12" t="s">
        <v>102</v>
      </c>
      <c r="F12" s="8">
        <v>3130.05</v>
      </c>
      <c r="G12" t="s">
        <v>30</v>
      </c>
      <c r="I12" t="s">
        <v>623</v>
      </c>
      <c r="J12">
        <f>F12/(F11+F12)</f>
        <v>0.42290829251815576</v>
      </c>
    </row>
    <row r="13" spans="1:10" ht="18" x14ac:dyDescent="0.35">
      <c r="A13" s="24" t="s">
        <v>36</v>
      </c>
      <c r="B13" s="24"/>
      <c r="C13" s="24"/>
      <c r="D13" s="24"/>
      <c r="E13" t="s">
        <v>103</v>
      </c>
      <c r="F13" s="9">
        <v>0.30459999999999998</v>
      </c>
      <c r="G13" t="s">
        <v>48</v>
      </c>
    </row>
    <row r="17" spans="1:5" x14ac:dyDescent="0.25">
      <c r="A17" s="11"/>
      <c r="B17" s="23" t="s">
        <v>614</v>
      </c>
      <c r="C17" s="23"/>
      <c r="D17" s="23"/>
      <c r="E17" s="23"/>
    </row>
    <row r="18" spans="1:5" x14ac:dyDescent="0.25">
      <c r="A18" s="12"/>
      <c r="B18" s="23" t="s">
        <v>615</v>
      </c>
      <c r="C18" s="23"/>
      <c r="D18" s="23"/>
      <c r="E18" s="23"/>
    </row>
  </sheetData>
  <mergeCells count="14">
    <mergeCell ref="B17:E17"/>
    <mergeCell ref="B18:E18"/>
    <mergeCell ref="A1:G1"/>
    <mergeCell ref="A13:D13"/>
    <mergeCell ref="A2:D2"/>
    <mergeCell ref="A3:D3"/>
    <mergeCell ref="A4:D4"/>
    <mergeCell ref="A5:D5"/>
    <mergeCell ref="A6:D6"/>
    <mergeCell ref="A8:G8"/>
    <mergeCell ref="A9:D9"/>
    <mergeCell ref="A10:D10"/>
    <mergeCell ref="A11:D11"/>
    <mergeCell ref="A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14"/>
  <sheetViews>
    <sheetView tabSelected="1" workbookViewId="0">
      <selection activeCell="F10" sqref="F10"/>
    </sheetView>
  </sheetViews>
  <sheetFormatPr defaultRowHeight="15" x14ac:dyDescent="0.25"/>
  <cols>
    <col min="4" max="4" width="16.140625" customWidth="1"/>
    <col min="6" max="6" width="9.5703125" bestFit="1" customWidth="1"/>
  </cols>
  <sheetData>
    <row r="2" spans="1:16" x14ac:dyDescent="0.25">
      <c r="A2" s="19" t="s">
        <v>616</v>
      </c>
      <c r="B2" s="19"/>
      <c r="C2" s="19"/>
      <c r="D2" s="19"/>
      <c r="E2" s="19"/>
      <c r="F2" s="19"/>
      <c r="G2" s="19"/>
    </row>
    <row r="3" spans="1:16" ht="18" x14ac:dyDescent="0.35">
      <c r="A3" s="24" t="s">
        <v>49</v>
      </c>
      <c r="B3" s="24"/>
      <c r="C3" s="24"/>
      <c r="D3" s="24"/>
      <c r="E3" t="s">
        <v>53</v>
      </c>
      <c r="F3" s="9">
        <v>0</v>
      </c>
      <c r="G3" t="s">
        <v>30</v>
      </c>
    </row>
    <row r="4" spans="1:16" ht="18" x14ac:dyDescent="0.35">
      <c r="A4" s="24" t="s">
        <v>50</v>
      </c>
      <c r="B4" s="24"/>
      <c r="C4" s="24"/>
      <c r="D4" s="24"/>
      <c r="E4" t="s">
        <v>54</v>
      </c>
      <c r="F4" s="40">
        <f>'Vettori energetici'!F3*9.45*0.987*N5</f>
        <v>247646.465451</v>
      </c>
      <c r="G4" t="s">
        <v>30</v>
      </c>
    </row>
    <row r="5" spans="1:16" ht="57.75" customHeight="1" x14ac:dyDescent="0.35">
      <c r="A5" s="25" t="s">
        <v>51</v>
      </c>
      <c r="B5" s="25"/>
      <c r="C5" s="25"/>
      <c r="D5" s="25"/>
      <c r="E5" t="s">
        <v>55</v>
      </c>
      <c r="F5" s="48">
        <v>470907.21</v>
      </c>
      <c r="G5" t="s">
        <v>30</v>
      </c>
      <c r="N5">
        <v>0.73499999999999999</v>
      </c>
    </row>
    <row r="7" spans="1:16" x14ac:dyDescent="0.25">
      <c r="I7" t="s">
        <v>620</v>
      </c>
      <c r="M7">
        <f>F5+F11</f>
        <v>526648.98</v>
      </c>
      <c r="P7">
        <f>F4+F10</f>
        <v>336933.96659999999</v>
      </c>
    </row>
    <row r="8" spans="1:16" x14ac:dyDescent="0.25">
      <c r="A8" s="19" t="s">
        <v>617</v>
      </c>
      <c r="B8" s="19"/>
      <c r="C8" s="19"/>
      <c r="D8" s="19"/>
      <c r="E8" s="19"/>
      <c r="F8" s="19"/>
      <c r="G8" s="19"/>
    </row>
    <row r="9" spans="1:16" ht="18" x14ac:dyDescent="0.35">
      <c r="A9" s="24" t="s">
        <v>49</v>
      </c>
      <c r="B9" s="24"/>
      <c r="C9" s="24"/>
      <c r="D9" s="24"/>
      <c r="E9" t="s">
        <v>53</v>
      </c>
      <c r="F9" s="9">
        <v>0</v>
      </c>
      <c r="G9" t="s">
        <v>30</v>
      </c>
    </row>
    <row r="10" spans="1:16" ht="18" x14ac:dyDescent="0.35">
      <c r="A10" s="24" t="s">
        <v>50</v>
      </c>
      <c r="B10" s="24"/>
      <c r="C10" s="24"/>
      <c r="D10" s="24"/>
      <c r="E10" t="s">
        <v>54</v>
      </c>
      <c r="F10" s="40">
        <f>'Vettori energetici'!F3*9.45*0.987*N11</f>
        <v>89287.501149000003</v>
      </c>
      <c r="G10" t="s">
        <v>30</v>
      </c>
    </row>
    <row r="11" spans="1:16" ht="46.5" customHeight="1" x14ac:dyDescent="0.35">
      <c r="A11" s="25" t="s">
        <v>52</v>
      </c>
      <c r="B11" s="25"/>
      <c r="C11" s="25"/>
      <c r="D11" s="25"/>
      <c r="E11" t="s">
        <v>56</v>
      </c>
      <c r="F11" s="8">
        <v>55741.77</v>
      </c>
      <c r="G11" t="s">
        <v>30</v>
      </c>
      <c r="N11">
        <f>1-N5</f>
        <v>0.26500000000000001</v>
      </c>
    </row>
    <row r="13" spans="1:16" x14ac:dyDescent="0.25">
      <c r="A13" s="11"/>
      <c r="B13" s="23" t="s">
        <v>614</v>
      </c>
      <c r="C13" s="23"/>
      <c r="D13" s="23"/>
      <c r="E13" s="23"/>
    </row>
    <row r="14" spans="1:16" x14ac:dyDescent="0.25">
      <c r="A14" s="12"/>
      <c r="B14" s="23" t="s">
        <v>615</v>
      </c>
      <c r="C14" s="23"/>
      <c r="D14" s="23"/>
      <c r="E14" s="23"/>
    </row>
  </sheetData>
  <mergeCells count="10">
    <mergeCell ref="B14:E14"/>
    <mergeCell ref="A8:G8"/>
    <mergeCell ref="A9:D9"/>
    <mergeCell ref="A10:D10"/>
    <mergeCell ref="A11:D11"/>
    <mergeCell ref="A2:G2"/>
    <mergeCell ref="A3:D3"/>
    <mergeCell ref="A4:D4"/>
    <mergeCell ref="A5:D5"/>
    <mergeCell ref="B13:E1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42"/>
  <sheetViews>
    <sheetView topLeftCell="A211" workbookViewId="0">
      <selection activeCell="F24" sqref="F24"/>
    </sheetView>
  </sheetViews>
  <sheetFormatPr defaultRowHeight="15" x14ac:dyDescent="0.25"/>
  <cols>
    <col min="4" max="4" width="23.42578125" customWidth="1"/>
    <col min="5" max="5" width="16.140625" customWidth="1"/>
  </cols>
  <sheetData>
    <row r="1" spans="1:7" x14ac:dyDescent="0.25">
      <c r="A1" s="19" t="s">
        <v>57</v>
      </c>
      <c r="B1" s="19"/>
      <c r="C1" s="19"/>
      <c r="D1" s="19"/>
      <c r="E1" s="19"/>
      <c r="F1" s="19"/>
      <c r="G1" s="19"/>
    </row>
    <row r="2" spans="1:7" x14ac:dyDescent="0.25">
      <c r="A2" s="19" t="s">
        <v>624</v>
      </c>
      <c r="B2" s="19"/>
      <c r="C2" s="19"/>
      <c r="D2" s="19"/>
      <c r="E2" s="19"/>
      <c r="F2" s="19"/>
      <c r="G2" s="19"/>
    </row>
    <row r="3" spans="1:7" ht="18" x14ac:dyDescent="0.35">
      <c r="A3" s="24" t="s">
        <v>58</v>
      </c>
      <c r="B3" s="24"/>
      <c r="C3" s="24"/>
      <c r="D3" s="24"/>
      <c r="E3" t="s">
        <v>61</v>
      </c>
      <c r="F3" s="9">
        <v>0</v>
      </c>
      <c r="G3" t="s">
        <v>86</v>
      </c>
    </row>
    <row r="4" spans="1:7" ht="18" x14ac:dyDescent="0.35">
      <c r="A4" s="24" t="s">
        <v>60</v>
      </c>
      <c r="B4" s="24"/>
      <c r="C4" s="24"/>
      <c r="D4" s="24"/>
      <c r="E4" t="s">
        <v>62</v>
      </c>
      <c r="F4" s="9">
        <v>608</v>
      </c>
      <c r="G4" t="s">
        <v>86</v>
      </c>
    </row>
    <row r="5" spans="1:7" ht="18" x14ac:dyDescent="0.35">
      <c r="A5" s="24" t="s">
        <v>59</v>
      </c>
      <c r="B5" s="24"/>
      <c r="C5" s="24"/>
      <c r="D5" s="24"/>
      <c r="E5" t="s">
        <v>70</v>
      </c>
      <c r="F5" s="9">
        <v>0</v>
      </c>
      <c r="G5" t="s">
        <v>86</v>
      </c>
    </row>
    <row r="6" spans="1:7" ht="18" x14ac:dyDescent="0.35">
      <c r="A6" s="24" t="s">
        <v>63</v>
      </c>
      <c r="B6" s="24"/>
      <c r="C6" s="24"/>
      <c r="D6" s="24"/>
      <c r="E6" t="s">
        <v>71</v>
      </c>
      <c r="F6" s="9">
        <v>2016</v>
      </c>
      <c r="G6" t="s">
        <v>86</v>
      </c>
    </row>
    <row r="7" spans="1:7" ht="18" x14ac:dyDescent="0.35">
      <c r="A7" s="24" t="s">
        <v>64</v>
      </c>
      <c r="B7" s="24"/>
      <c r="C7" s="24"/>
      <c r="D7" s="24"/>
      <c r="E7" t="s">
        <v>72</v>
      </c>
      <c r="F7" s="9">
        <v>0</v>
      </c>
      <c r="G7" t="s">
        <v>86</v>
      </c>
    </row>
    <row r="8" spans="1:7" ht="18" x14ac:dyDescent="0.35">
      <c r="A8" s="24" t="s">
        <v>65</v>
      </c>
      <c r="B8" s="24"/>
      <c r="C8" s="24"/>
      <c r="D8" s="24"/>
      <c r="E8" t="s">
        <v>73</v>
      </c>
      <c r="F8" s="9">
        <v>1260</v>
      </c>
      <c r="G8" t="s">
        <v>86</v>
      </c>
    </row>
    <row r="9" spans="1:7" ht="18" x14ac:dyDescent="0.35">
      <c r="A9" s="24" t="s">
        <v>66</v>
      </c>
      <c r="B9" s="24"/>
      <c r="C9" s="24"/>
      <c r="D9" s="24"/>
      <c r="E9" t="s">
        <v>74</v>
      </c>
      <c r="F9" s="9">
        <v>0</v>
      </c>
      <c r="G9" t="s">
        <v>86</v>
      </c>
    </row>
    <row r="10" spans="1:7" ht="18" x14ac:dyDescent="0.35">
      <c r="A10" s="24" t="s">
        <v>67</v>
      </c>
      <c r="B10" s="24"/>
      <c r="C10" s="24"/>
      <c r="D10" s="24"/>
      <c r="E10" t="s">
        <v>75</v>
      </c>
      <c r="F10" s="9">
        <v>1512</v>
      </c>
      <c r="G10" t="s">
        <v>86</v>
      </c>
    </row>
    <row r="11" spans="1:7" ht="18" x14ac:dyDescent="0.35">
      <c r="A11" s="24" t="s">
        <v>68</v>
      </c>
      <c r="B11" s="24"/>
      <c r="C11" s="24"/>
      <c r="D11" s="24"/>
      <c r="E11" t="s">
        <v>76</v>
      </c>
      <c r="F11" s="9">
        <v>0</v>
      </c>
      <c r="G11" t="s">
        <v>86</v>
      </c>
    </row>
    <row r="12" spans="1:7" ht="18" x14ac:dyDescent="0.35">
      <c r="A12" s="24" t="s">
        <v>69</v>
      </c>
      <c r="B12" s="24"/>
      <c r="C12" s="24"/>
      <c r="D12" s="24"/>
      <c r="E12" t="s">
        <v>77</v>
      </c>
      <c r="F12" s="9">
        <v>1412</v>
      </c>
      <c r="G12" t="s">
        <v>86</v>
      </c>
    </row>
    <row r="13" spans="1:7" ht="18" x14ac:dyDescent="0.35">
      <c r="A13" s="24" t="s">
        <v>263</v>
      </c>
      <c r="B13" s="24"/>
      <c r="C13" s="24"/>
      <c r="D13" s="24"/>
      <c r="E13" t="s">
        <v>275</v>
      </c>
      <c r="F13" s="9">
        <v>0</v>
      </c>
      <c r="G13" t="s">
        <v>86</v>
      </c>
    </row>
    <row r="14" spans="1:7" ht="18" x14ac:dyDescent="0.35">
      <c r="A14" s="24" t="s">
        <v>264</v>
      </c>
      <c r="B14" s="24"/>
      <c r="C14" s="24"/>
      <c r="D14" s="24"/>
      <c r="E14" t="s">
        <v>276</v>
      </c>
      <c r="F14" s="9">
        <v>1412</v>
      </c>
      <c r="G14" t="s">
        <v>86</v>
      </c>
    </row>
    <row r="15" spans="1:7" ht="18" x14ac:dyDescent="0.35">
      <c r="A15" s="24" t="s">
        <v>265</v>
      </c>
      <c r="B15" s="24"/>
      <c r="C15" s="24"/>
      <c r="D15" s="24"/>
      <c r="E15" t="s">
        <v>277</v>
      </c>
      <c r="F15" s="9">
        <v>0</v>
      </c>
      <c r="G15" t="s">
        <v>86</v>
      </c>
    </row>
    <row r="16" spans="1:7" ht="18" customHeight="1" x14ac:dyDescent="0.35">
      <c r="A16" s="24" t="s">
        <v>266</v>
      </c>
      <c r="B16" s="24"/>
      <c r="C16" s="24"/>
      <c r="D16" s="24"/>
      <c r="E16" t="s">
        <v>278</v>
      </c>
      <c r="F16" s="9">
        <v>1412</v>
      </c>
      <c r="G16" t="s">
        <v>86</v>
      </c>
    </row>
    <row r="17" spans="1:7" ht="18" x14ac:dyDescent="0.35">
      <c r="A17" s="24" t="s">
        <v>267</v>
      </c>
      <c r="B17" s="24"/>
      <c r="C17" s="24"/>
      <c r="D17" s="24"/>
      <c r="E17" t="s">
        <v>279</v>
      </c>
      <c r="F17" s="9">
        <v>0</v>
      </c>
      <c r="G17" t="s">
        <v>86</v>
      </c>
    </row>
    <row r="18" spans="1:7" ht="18" customHeight="1" x14ac:dyDescent="0.35">
      <c r="A18" s="24" t="s">
        <v>268</v>
      </c>
      <c r="B18" s="24"/>
      <c r="C18" s="24"/>
      <c r="D18" s="24"/>
      <c r="E18" t="s">
        <v>280</v>
      </c>
      <c r="F18" s="9">
        <v>1412</v>
      </c>
      <c r="G18" t="s">
        <v>86</v>
      </c>
    </row>
    <row r="19" spans="1:7" ht="18" x14ac:dyDescent="0.35">
      <c r="A19" s="24" t="s">
        <v>269</v>
      </c>
      <c r="B19" s="24"/>
      <c r="C19" s="24"/>
      <c r="D19" s="24"/>
      <c r="E19" t="s">
        <v>281</v>
      </c>
      <c r="F19" s="9">
        <v>0</v>
      </c>
      <c r="G19" t="s">
        <v>86</v>
      </c>
    </row>
    <row r="20" spans="1:7" ht="18" customHeight="1" x14ac:dyDescent="0.35">
      <c r="A20" s="24" t="s">
        <v>270</v>
      </c>
      <c r="B20" s="24"/>
      <c r="C20" s="24"/>
      <c r="D20" s="24"/>
      <c r="E20" t="s">
        <v>282</v>
      </c>
      <c r="F20" s="9">
        <v>1412</v>
      </c>
      <c r="G20" t="s">
        <v>86</v>
      </c>
    </row>
    <row r="21" spans="1:7" ht="18" x14ac:dyDescent="0.35">
      <c r="A21" s="24" t="s">
        <v>271</v>
      </c>
      <c r="B21" s="24"/>
      <c r="C21" s="24"/>
      <c r="D21" s="24"/>
      <c r="E21" t="s">
        <v>283</v>
      </c>
      <c r="F21" s="9">
        <v>0</v>
      </c>
      <c r="G21" t="s">
        <v>86</v>
      </c>
    </row>
    <row r="22" spans="1:7" ht="18" customHeight="1" x14ac:dyDescent="0.35">
      <c r="A22" s="24" t="s">
        <v>272</v>
      </c>
      <c r="B22" s="24"/>
      <c r="C22" s="24"/>
      <c r="D22" s="24"/>
      <c r="E22" t="s">
        <v>284</v>
      </c>
      <c r="F22" s="9">
        <v>1412</v>
      </c>
      <c r="G22" t="s">
        <v>86</v>
      </c>
    </row>
    <row r="23" spans="1:7" ht="18" x14ac:dyDescent="0.35">
      <c r="A23" s="24" t="s">
        <v>273</v>
      </c>
      <c r="B23" s="24"/>
      <c r="C23" s="24"/>
      <c r="D23" s="24"/>
      <c r="E23" t="s">
        <v>285</v>
      </c>
      <c r="F23" s="9">
        <v>0</v>
      </c>
      <c r="G23" t="s">
        <v>86</v>
      </c>
    </row>
    <row r="24" spans="1:7" ht="18" customHeight="1" x14ac:dyDescent="0.35">
      <c r="A24" s="24" t="s">
        <v>274</v>
      </c>
      <c r="B24" s="24"/>
      <c r="C24" s="24"/>
      <c r="D24" s="24"/>
      <c r="E24" t="s">
        <v>286</v>
      </c>
      <c r="F24" s="9">
        <v>1412</v>
      </c>
      <c r="G24" t="s">
        <v>86</v>
      </c>
    </row>
    <row r="25" spans="1:7" ht="18" x14ac:dyDescent="0.35">
      <c r="A25" s="24" t="s">
        <v>78</v>
      </c>
      <c r="B25" s="24"/>
      <c r="C25" s="24"/>
      <c r="D25" s="24"/>
      <c r="E25" t="s">
        <v>80</v>
      </c>
      <c r="F25" s="9">
        <v>0</v>
      </c>
      <c r="G25" t="s">
        <v>42</v>
      </c>
    </row>
    <row r="26" spans="1:7" ht="18" x14ac:dyDescent="0.35">
      <c r="A26" s="24" t="s">
        <v>79</v>
      </c>
      <c r="B26" s="24"/>
      <c r="C26" s="24"/>
      <c r="D26" s="24"/>
      <c r="E26" t="s">
        <v>81</v>
      </c>
      <c r="F26" s="9">
        <v>36</v>
      </c>
      <c r="G26" t="s">
        <v>42</v>
      </c>
    </row>
    <row r="27" spans="1:7" ht="29.25" customHeight="1" x14ac:dyDescent="0.35">
      <c r="A27" s="25" t="s">
        <v>82</v>
      </c>
      <c r="B27" s="25"/>
      <c r="C27" s="25"/>
      <c r="D27" s="25"/>
      <c r="E27" t="s">
        <v>84</v>
      </c>
      <c r="F27">
        <v>24.02</v>
      </c>
    </row>
    <row r="28" spans="1:7" ht="24.75" customHeight="1" x14ac:dyDescent="0.35">
      <c r="A28" s="25" t="s">
        <v>83</v>
      </c>
      <c r="B28" s="25"/>
      <c r="C28" s="25"/>
      <c r="D28" s="25"/>
      <c r="E28" t="s">
        <v>85</v>
      </c>
      <c r="F28">
        <v>25.78</v>
      </c>
    </row>
    <row r="30" spans="1:7" x14ac:dyDescent="0.25">
      <c r="A30" s="19" t="s">
        <v>625</v>
      </c>
      <c r="B30" s="19"/>
      <c r="C30" s="19"/>
      <c r="D30" s="19"/>
      <c r="E30" s="19"/>
      <c r="F30" s="19"/>
      <c r="G30" s="19"/>
    </row>
    <row r="31" spans="1:7" ht="18" x14ac:dyDescent="0.35">
      <c r="A31" s="24" t="s">
        <v>58</v>
      </c>
      <c r="B31" s="24"/>
      <c r="C31" s="24"/>
      <c r="D31" s="24"/>
      <c r="E31" t="s">
        <v>178</v>
      </c>
      <c r="F31" s="9">
        <v>0</v>
      </c>
      <c r="G31" t="s">
        <v>86</v>
      </c>
    </row>
    <row r="32" spans="1:7" ht="18" x14ac:dyDescent="0.35">
      <c r="A32" s="24" t="s">
        <v>60</v>
      </c>
      <c r="B32" s="24"/>
      <c r="C32" s="24"/>
      <c r="D32" s="24"/>
      <c r="E32" t="s">
        <v>179</v>
      </c>
      <c r="F32" s="9">
        <v>362</v>
      </c>
      <c r="G32" t="s">
        <v>86</v>
      </c>
    </row>
    <row r="33" spans="1:7" ht="18" x14ac:dyDescent="0.35">
      <c r="A33" s="24" t="s">
        <v>59</v>
      </c>
      <c r="B33" s="24"/>
      <c r="C33" s="24"/>
      <c r="D33" s="24"/>
      <c r="E33" t="s">
        <v>180</v>
      </c>
      <c r="F33" s="9">
        <v>0</v>
      </c>
      <c r="G33" t="s">
        <v>86</v>
      </c>
    </row>
    <row r="34" spans="1:7" ht="18" x14ac:dyDescent="0.35">
      <c r="A34" s="24" t="s">
        <v>63</v>
      </c>
      <c r="B34" s="24"/>
      <c r="C34" s="24"/>
      <c r="D34" s="24"/>
      <c r="E34" t="s">
        <v>181</v>
      </c>
      <c r="F34" s="9">
        <v>486</v>
      </c>
      <c r="G34" t="s">
        <v>86</v>
      </c>
    </row>
    <row r="35" spans="1:7" ht="18" x14ac:dyDescent="0.35">
      <c r="A35" s="24" t="s">
        <v>64</v>
      </c>
      <c r="B35" s="24"/>
      <c r="C35" s="24"/>
      <c r="D35" s="24"/>
      <c r="E35" t="s">
        <v>182</v>
      </c>
      <c r="F35" s="9">
        <v>0</v>
      </c>
      <c r="G35" t="s">
        <v>86</v>
      </c>
    </row>
    <row r="36" spans="1:7" ht="18" x14ac:dyDescent="0.35">
      <c r="A36" s="24" t="s">
        <v>65</v>
      </c>
      <c r="B36" s="24"/>
      <c r="C36" s="24"/>
      <c r="D36" s="24"/>
      <c r="E36" t="s">
        <v>183</v>
      </c>
      <c r="F36" s="9">
        <v>313</v>
      </c>
      <c r="G36" t="s">
        <v>86</v>
      </c>
    </row>
    <row r="37" spans="1:7" ht="18" x14ac:dyDescent="0.35">
      <c r="A37" s="24" t="s">
        <v>66</v>
      </c>
      <c r="B37" s="24"/>
      <c r="C37" s="24"/>
      <c r="D37" s="24"/>
      <c r="E37" t="s">
        <v>184</v>
      </c>
      <c r="F37" s="9">
        <v>0</v>
      </c>
      <c r="G37" t="s">
        <v>86</v>
      </c>
    </row>
    <row r="38" spans="1:7" ht="18" x14ac:dyDescent="0.35">
      <c r="A38" s="24" t="s">
        <v>67</v>
      </c>
      <c r="B38" s="24"/>
      <c r="C38" s="24"/>
      <c r="D38" s="24"/>
      <c r="E38" t="s">
        <v>185</v>
      </c>
      <c r="F38" s="9">
        <v>233</v>
      </c>
      <c r="G38" t="s">
        <v>86</v>
      </c>
    </row>
    <row r="39" spans="1:7" ht="18" x14ac:dyDescent="0.35">
      <c r="A39" s="24" t="s">
        <v>68</v>
      </c>
      <c r="B39" s="24"/>
      <c r="C39" s="24"/>
      <c r="D39" s="24"/>
      <c r="E39" t="s">
        <v>186</v>
      </c>
      <c r="F39" s="9">
        <v>0</v>
      </c>
      <c r="G39" t="s">
        <v>86</v>
      </c>
    </row>
    <row r="40" spans="1:7" ht="18" x14ac:dyDescent="0.35">
      <c r="A40" s="24" t="s">
        <v>69</v>
      </c>
      <c r="B40" s="24"/>
      <c r="C40" s="24"/>
      <c r="D40" s="24"/>
      <c r="E40" t="s">
        <v>187</v>
      </c>
      <c r="F40" s="9">
        <v>363</v>
      </c>
      <c r="G40" t="s">
        <v>86</v>
      </c>
    </row>
    <row r="41" spans="1:7" ht="18" x14ac:dyDescent="0.35">
      <c r="A41" s="24" t="s">
        <v>263</v>
      </c>
      <c r="B41" s="24"/>
      <c r="C41" s="24"/>
      <c r="D41" s="24"/>
      <c r="E41" t="s">
        <v>287</v>
      </c>
      <c r="F41" s="9">
        <v>0</v>
      </c>
      <c r="G41" t="s">
        <v>86</v>
      </c>
    </row>
    <row r="42" spans="1:7" ht="18" x14ac:dyDescent="0.35">
      <c r="A42" s="24" t="s">
        <v>264</v>
      </c>
      <c r="B42" s="24"/>
      <c r="C42" s="24"/>
      <c r="D42" s="24"/>
      <c r="E42" t="s">
        <v>288</v>
      </c>
      <c r="F42" s="9">
        <v>147</v>
      </c>
      <c r="G42" t="s">
        <v>86</v>
      </c>
    </row>
    <row r="43" spans="1:7" ht="18" x14ac:dyDescent="0.35">
      <c r="A43" s="24" t="s">
        <v>265</v>
      </c>
      <c r="B43" s="24"/>
      <c r="C43" s="24"/>
      <c r="D43" s="24"/>
      <c r="E43" t="s">
        <v>289</v>
      </c>
      <c r="F43" s="9">
        <v>0</v>
      </c>
      <c r="G43" t="s">
        <v>86</v>
      </c>
    </row>
    <row r="44" spans="1:7" ht="18" x14ac:dyDescent="0.35">
      <c r="A44" s="24" t="s">
        <v>266</v>
      </c>
      <c r="B44" s="24"/>
      <c r="C44" s="24"/>
      <c r="D44" s="24"/>
      <c r="E44" t="s">
        <v>290</v>
      </c>
      <c r="F44" s="9">
        <v>637</v>
      </c>
      <c r="G44" t="s">
        <v>86</v>
      </c>
    </row>
    <row r="45" spans="1:7" ht="18" x14ac:dyDescent="0.35">
      <c r="A45" s="24" t="s">
        <v>78</v>
      </c>
      <c r="B45" s="24"/>
      <c r="C45" s="24"/>
      <c r="D45" s="24"/>
      <c r="E45" t="s">
        <v>188</v>
      </c>
      <c r="F45" s="9">
        <v>0</v>
      </c>
      <c r="G45" t="s">
        <v>42</v>
      </c>
    </row>
    <row r="46" spans="1:7" ht="18" x14ac:dyDescent="0.35">
      <c r="A46" s="24" t="s">
        <v>79</v>
      </c>
      <c r="B46" s="24"/>
      <c r="C46" s="24"/>
      <c r="D46" s="24"/>
      <c r="E46" t="s">
        <v>189</v>
      </c>
      <c r="F46" s="9">
        <v>23</v>
      </c>
      <c r="G46" t="s">
        <v>42</v>
      </c>
    </row>
    <row r="47" spans="1:7" ht="33.75" customHeight="1" x14ac:dyDescent="0.35">
      <c r="A47" s="25" t="s">
        <v>82</v>
      </c>
      <c r="B47" s="25"/>
      <c r="C47" s="25"/>
      <c r="D47" s="25"/>
      <c r="E47" t="s">
        <v>190</v>
      </c>
      <c r="F47">
        <v>16.670000000000002</v>
      </c>
    </row>
    <row r="48" spans="1:7" ht="18" x14ac:dyDescent="0.35">
      <c r="A48" s="25" t="s">
        <v>83</v>
      </c>
      <c r="B48" s="25"/>
      <c r="C48" s="25"/>
      <c r="D48" s="25"/>
      <c r="E48" t="s">
        <v>191</v>
      </c>
      <c r="F48">
        <v>21.4</v>
      </c>
    </row>
    <row r="50" spans="1:7" x14ac:dyDescent="0.25">
      <c r="A50" s="19" t="s">
        <v>626</v>
      </c>
      <c r="B50" s="19"/>
      <c r="C50" s="19"/>
      <c r="D50" s="19"/>
      <c r="E50" s="19"/>
      <c r="F50" s="19"/>
      <c r="G50" s="19"/>
    </row>
    <row r="51" spans="1:7" ht="18" x14ac:dyDescent="0.35">
      <c r="A51" s="24" t="s">
        <v>58</v>
      </c>
      <c r="B51" s="24"/>
      <c r="C51" s="24"/>
      <c r="D51" s="24"/>
      <c r="E51" t="s">
        <v>192</v>
      </c>
      <c r="F51" s="9">
        <v>0</v>
      </c>
      <c r="G51" t="s">
        <v>86</v>
      </c>
    </row>
    <row r="52" spans="1:7" ht="18" x14ac:dyDescent="0.35">
      <c r="A52" s="24" t="s">
        <v>60</v>
      </c>
      <c r="B52" s="24"/>
      <c r="C52" s="24"/>
      <c r="D52" s="24"/>
      <c r="E52" t="s">
        <v>193</v>
      </c>
      <c r="F52" s="9">
        <v>837</v>
      </c>
      <c r="G52" t="s">
        <v>86</v>
      </c>
    </row>
    <row r="53" spans="1:7" ht="18" x14ac:dyDescent="0.35">
      <c r="A53" s="24" t="s">
        <v>59</v>
      </c>
      <c r="B53" s="24"/>
      <c r="C53" s="24"/>
      <c r="D53" s="24"/>
      <c r="E53" t="s">
        <v>194</v>
      </c>
      <c r="F53" s="9">
        <v>0</v>
      </c>
      <c r="G53" t="s">
        <v>86</v>
      </c>
    </row>
    <row r="54" spans="1:7" ht="18" x14ac:dyDescent="0.35">
      <c r="A54" s="24" t="s">
        <v>63</v>
      </c>
      <c r="B54" s="24"/>
      <c r="C54" s="24"/>
      <c r="D54" s="24"/>
      <c r="E54" t="s">
        <v>195</v>
      </c>
      <c r="F54" s="9">
        <v>937</v>
      </c>
      <c r="G54" t="s">
        <v>86</v>
      </c>
    </row>
    <row r="55" spans="1:7" ht="18" x14ac:dyDescent="0.35">
      <c r="A55" s="24" t="s">
        <v>64</v>
      </c>
      <c r="B55" s="24"/>
      <c r="C55" s="24"/>
      <c r="D55" s="24"/>
      <c r="E55" t="s">
        <v>196</v>
      </c>
      <c r="F55" s="9">
        <v>0</v>
      </c>
      <c r="G55" t="s">
        <v>86</v>
      </c>
    </row>
    <row r="56" spans="1:7" ht="18" x14ac:dyDescent="0.35">
      <c r="A56" s="24" t="s">
        <v>65</v>
      </c>
      <c r="B56" s="24"/>
      <c r="C56" s="24"/>
      <c r="D56" s="24"/>
      <c r="E56" t="s">
        <v>197</v>
      </c>
      <c r="F56" s="9">
        <v>357</v>
      </c>
      <c r="G56" t="s">
        <v>86</v>
      </c>
    </row>
    <row r="57" spans="1:7" ht="18" x14ac:dyDescent="0.35">
      <c r="A57" s="24" t="s">
        <v>66</v>
      </c>
      <c r="B57" s="24"/>
      <c r="C57" s="24"/>
      <c r="D57" s="24"/>
      <c r="E57" t="s">
        <v>198</v>
      </c>
      <c r="F57" s="9">
        <v>0</v>
      </c>
      <c r="G57" t="s">
        <v>86</v>
      </c>
    </row>
    <row r="58" spans="1:7" ht="18" x14ac:dyDescent="0.35">
      <c r="A58" s="24" t="s">
        <v>67</v>
      </c>
      <c r="B58" s="24"/>
      <c r="C58" s="24"/>
      <c r="D58" s="24"/>
      <c r="E58" t="s">
        <v>199</v>
      </c>
      <c r="F58" s="9">
        <v>332</v>
      </c>
      <c r="G58" t="s">
        <v>86</v>
      </c>
    </row>
    <row r="59" spans="1:7" ht="18" x14ac:dyDescent="0.35">
      <c r="A59" s="24" t="s">
        <v>68</v>
      </c>
      <c r="B59" s="24"/>
      <c r="C59" s="24"/>
      <c r="D59" s="24"/>
      <c r="E59" t="s">
        <v>200</v>
      </c>
      <c r="F59" s="9">
        <v>0</v>
      </c>
      <c r="G59" t="s">
        <v>86</v>
      </c>
    </row>
    <row r="60" spans="1:7" ht="18" x14ac:dyDescent="0.35">
      <c r="A60" s="24" t="s">
        <v>69</v>
      </c>
      <c r="B60" s="24"/>
      <c r="C60" s="24"/>
      <c r="D60" s="24"/>
      <c r="E60" t="s">
        <v>201</v>
      </c>
      <c r="F60" s="9">
        <v>301</v>
      </c>
      <c r="G60" t="s">
        <v>86</v>
      </c>
    </row>
    <row r="61" spans="1:7" ht="18" x14ac:dyDescent="0.35">
      <c r="A61" s="24" t="s">
        <v>263</v>
      </c>
      <c r="B61" s="24"/>
      <c r="C61" s="24"/>
      <c r="D61" s="24"/>
      <c r="E61" t="s">
        <v>291</v>
      </c>
      <c r="F61" s="9">
        <v>0</v>
      </c>
      <c r="G61" t="s">
        <v>86</v>
      </c>
    </row>
    <row r="62" spans="1:7" ht="18" x14ac:dyDescent="0.35">
      <c r="A62" s="24" t="s">
        <v>264</v>
      </c>
      <c r="B62" s="24"/>
      <c r="C62" s="24"/>
      <c r="D62" s="24"/>
      <c r="E62" t="s">
        <v>292</v>
      </c>
      <c r="F62" s="9">
        <v>58</v>
      </c>
      <c r="G62" t="s">
        <v>86</v>
      </c>
    </row>
    <row r="63" spans="1:7" ht="18" x14ac:dyDescent="0.35">
      <c r="A63" s="24" t="s">
        <v>265</v>
      </c>
      <c r="B63" s="24"/>
      <c r="C63" s="24"/>
      <c r="D63" s="24"/>
      <c r="E63" t="s">
        <v>293</v>
      </c>
      <c r="F63" s="9">
        <v>0</v>
      </c>
      <c r="G63" t="s">
        <v>86</v>
      </c>
    </row>
    <row r="64" spans="1:7" ht="18" x14ac:dyDescent="0.35">
      <c r="A64" s="24" t="s">
        <v>266</v>
      </c>
      <c r="B64" s="24"/>
      <c r="C64" s="24"/>
      <c r="D64" s="24"/>
      <c r="E64" t="s">
        <v>294</v>
      </c>
      <c r="F64" s="9">
        <v>261</v>
      </c>
      <c r="G64" t="s">
        <v>86</v>
      </c>
    </row>
    <row r="65" spans="1:7" ht="18" x14ac:dyDescent="0.35">
      <c r="A65" s="24" t="s">
        <v>267</v>
      </c>
      <c r="B65" s="24"/>
      <c r="C65" s="24"/>
      <c r="D65" s="24"/>
      <c r="E65" t="s">
        <v>295</v>
      </c>
      <c r="F65" s="9">
        <v>0</v>
      </c>
      <c r="G65" t="s">
        <v>86</v>
      </c>
    </row>
    <row r="66" spans="1:7" ht="18" x14ac:dyDescent="0.35">
      <c r="A66" s="24" t="s">
        <v>268</v>
      </c>
      <c r="B66" s="24"/>
      <c r="C66" s="24"/>
      <c r="D66" s="24"/>
      <c r="E66" t="s">
        <v>296</v>
      </c>
      <c r="F66" s="9">
        <v>254</v>
      </c>
      <c r="G66" t="s">
        <v>86</v>
      </c>
    </row>
    <row r="67" spans="1:7" ht="18" x14ac:dyDescent="0.35">
      <c r="A67" s="24" t="s">
        <v>78</v>
      </c>
      <c r="B67" s="24"/>
      <c r="C67" s="24"/>
      <c r="D67" s="24"/>
      <c r="E67" t="s">
        <v>202</v>
      </c>
      <c r="F67" s="9">
        <v>0</v>
      </c>
      <c r="G67" t="s">
        <v>42</v>
      </c>
    </row>
    <row r="68" spans="1:7" ht="18" x14ac:dyDescent="0.35">
      <c r="A68" s="24" t="s">
        <v>79</v>
      </c>
      <c r="B68" s="24"/>
      <c r="C68" s="24"/>
      <c r="D68" s="24"/>
      <c r="E68" t="s">
        <v>203</v>
      </c>
      <c r="F68" s="9">
        <v>30</v>
      </c>
      <c r="G68" t="s">
        <v>42</v>
      </c>
    </row>
    <row r="69" spans="1:7" ht="30" customHeight="1" x14ac:dyDescent="0.35">
      <c r="A69" s="25" t="s">
        <v>82</v>
      </c>
      <c r="B69" s="25"/>
      <c r="C69" s="25"/>
      <c r="D69" s="25"/>
      <c r="E69" t="s">
        <v>204</v>
      </c>
      <c r="F69">
        <v>19.59</v>
      </c>
    </row>
    <row r="70" spans="1:7" ht="18" x14ac:dyDescent="0.35">
      <c r="A70" s="25" t="s">
        <v>83</v>
      </c>
      <c r="B70" s="25"/>
      <c r="C70" s="25"/>
      <c r="D70" s="25"/>
      <c r="E70" t="s">
        <v>205</v>
      </c>
      <c r="F70">
        <v>21.32</v>
      </c>
    </row>
    <row r="72" spans="1:7" x14ac:dyDescent="0.25">
      <c r="A72" s="19" t="s">
        <v>627</v>
      </c>
      <c r="B72" s="19"/>
      <c r="C72" s="19"/>
      <c r="D72" s="19"/>
      <c r="E72" s="19"/>
      <c r="F72" s="19"/>
      <c r="G72" s="19"/>
    </row>
    <row r="73" spans="1:7" ht="18" x14ac:dyDescent="0.35">
      <c r="A73" s="24" t="s">
        <v>58</v>
      </c>
      <c r="B73" s="24"/>
      <c r="C73" s="24"/>
      <c r="D73" s="24"/>
      <c r="E73" t="s">
        <v>206</v>
      </c>
      <c r="F73" s="9">
        <v>0</v>
      </c>
      <c r="G73" t="s">
        <v>86</v>
      </c>
    </row>
    <row r="74" spans="1:7" ht="18" x14ac:dyDescent="0.35">
      <c r="A74" s="24" t="s">
        <v>60</v>
      </c>
      <c r="B74" s="24"/>
      <c r="C74" s="24"/>
      <c r="D74" s="24"/>
      <c r="E74" t="s">
        <v>207</v>
      </c>
      <c r="F74" s="9">
        <v>881</v>
      </c>
      <c r="G74" t="s">
        <v>86</v>
      </c>
    </row>
    <row r="75" spans="1:7" ht="18" x14ac:dyDescent="0.35">
      <c r="A75" s="24" t="s">
        <v>59</v>
      </c>
      <c r="B75" s="24"/>
      <c r="C75" s="24"/>
      <c r="D75" s="24"/>
      <c r="E75" t="s">
        <v>208</v>
      </c>
      <c r="F75" s="9">
        <v>0</v>
      </c>
      <c r="G75" t="s">
        <v>86</v>
      </c>
    </row>
    <row r="76" spans="1:7" ht="18" x14ac:dyDescent="0.35">
      <c r="A76" s="24" t="s">
        <v>63</v>
      </c>
      <c r="B76" s="24"/>
      <c r="C76" s="24"/>
      <c r="D76" s="24"/>
      <c r="E76" t="s">
        <v>209</v>
      </c>
      <c r="F76" s="9">
        <v>986</v>
      </c>
      <c r="G76" t="s">
        <v>86</v>
      </c>
    </row>
    <row r="77" spans="1:7" ht="18" x14ac:dyDescent="0.35">
      <c r="A77" s="24" t="s">
        <v>64</v>
      </c>
      <c r="B77" s="24"/>
      <c r="C77" s="24"/>
      <c r="D77" s="24"/>
      <c r="E77" t="s">
        <v>210</v>
      </c>
      <c r="F77" s="9">
        <v>0</v>
      </c>
      <c r="G77" t="s">
        <v>86</v>
      </c>
    </row>
    <row r="78" spans="1:7" ht="18" x14ac:dyDescent="0.35">
      <c r="A78" s="24" t="s">
        <v>65</v>
      </c>
      <c r="B78" s="24"/>
      <c r="C78" s="24"/>
      <c r="D78" s="24"/>
      <c r="E78" t="s">
        <v>211</v>
      </c>
      <c r="F78" s="9">
        <v>871</v>
      </c>
      <c r="G78" t="s">
        <v>86</v>
      </c>
    </row>
    <row r="79" spans="1:7" ht="18" x14ac:dyDescent="0.35">
      <c r="A79" s="24" t="s">
        <v>66</v>
      </c>
      <c r="B79" s="24"/>
      <c r="C79" s="24"/>
      <c r="D79" s="24"/>
      <c r="E79" t="s">
        <v>212</v>
      </c>
      <c r="F79" s="9">
        <v>0</v>
      </c>
      <c r="G79" t="s">
        <v>86</v>
      </c>
    </row>
    <row r="80" spans="1:7" ht="18" x14ac:dyDescent="0.35">
      <c r="A80" s="24" t="s">
        <v>67</v>
      </c>
      <c r="B80" s="24"/>
      <c r="C80" s="24"/>
      <c r="D80" s="24"/>
      <c r="E80" t="s">
        <v>213</v>
      </c>
      <c r="F80" s="9">
        <v>820</v>
      </c>
      <c r="G80" t="s">
        <v>86</v>
      </c>
    </row>
    <row r="81" spans="1:7" ht="18" x14ac:dyDescent="0.35">
      <c r="A81" s="24" t="s">
        <v>68</v>
      </c>
      <c r="B81" s="24"/>
      <c r="C81" s="24"/>
      <c r="D81" s="24"/>
      <c r="E81" t="s">
        <v>214</v>
      </c>
      <c r="F81" s="9">
        <v>0</v>
      </c>
      <c r="G81" t="s">
        <v>86</v>
      </c>
    </row>
    <row r="82" spans="1:7" ht="18" x14ac:dyDescent="0.35">
      <c r="A82" s="24" t="s">
        <v>69</v>
      </c>
      <c r="B82" s="24"/>
      <c r="C82" s="24"/>
      <c r="D82" s="24"/>
      <c r="E82" t="s">
        <v>215</v>
      </c>
      <c r="F82" s="9">
        <v>297</v>
      </c>
      <c r="G82" t="s">
        <v>86</v>
      </c>
    </row>
    <row r="83" spans="1:7" ht="18" x14ac:dyDescent="0.35">
      <c r="A83" s="24" t="s">
        <v>263</v>
      </c>
      <c r="B83" s="24"/>
      <c r="C83" s="24"/>
      <c r="D83" s="24"/>
      <c r="E83" t="s">
        <v>297</v>
      </c>
      <c r="F83" s="9">
        <v>0</v>
      </c>
      <c r="G83" t="s">
        <v>86</v>
      </c>
    </row>
    <row r="84" spans="1:7" ht="18" x14ac:dyDescent="0.35">
      <c r="A84" s="24" t="s">
        <v>264</v>
      </c>
      <c r="B84" s="24"/>
      <c r="C84" s="24"/>
      <c r="D84" s="24"/>
      <c r="E84" t="s">
        <v>298</v>
      </c>
      <c r="F84" s="9">
        <v>360</v>
      </c>
      <c r="G84" t="s">
        <v>86</v>
      </c>
    </row>
    <row r="85" spans="1:7" ht="18" x14ac:dyDescent="0.35">
      <c r="A85" s="24" t="s">
        <v>265</v>
      </c>
      <c r="B85" s="24"/>
      <c r="C85" s="24"/>
      <c r="D85" s="24"/>
      <c r="E85" t="s">
        <v>299</v>
      </c>
      <c r="F85" s="9">
        <v>0</v>
      </c>
      <c r="G85" t="s">
        <v>86</v>
      </c>
    </row>
    <row r="86" spans="1:7" ht="18" x14ac:dyDescent="0.35">
      <c r="A86" s="24" t="s">
        <v>266</v>
      </c>
      <c r="B86" s="24"/>
      <c r="C86" s="24"/>
      <c r="D86" s="24"/>
      <c r="E86" t="s">
        <v>300</v>
      </c>
      <c r="F86" s="9">
        <v>150</v>
      </c>
      <c r="G86" t="s">
        <v>86</v>
      </c>
    </row>
    <row r="87" spans="1:7" ht="18" x14ac:dyDescent="0.35">
      <c r="A87" s="24" t="s">
        <v>267</v>
      </c>
      <c r="B87" s="24"/>
      <c r="C87" s="24"/>
      <c r="D87" s="24"/>
      <c r="E87" t="s">
        <v>301</v>
      </c>
      <c r="F87" s="9">
        <v>0</v>
      </c>
      <c r="G87" t="s">
        <v>86</v>
      </c>
    </row>
    <row r="88" spans="1:7" ht="18" x14ac:dyDescent="0.35">
      <c r="A88" s="24" t="s">
        <v>268</v>
      </c>
      <c r="B88" s="24"/>
      <c r="C88" s="24"/>
      <c r="D88" s="24"/>
      <c r="E88" t="s">
        <v>302</v>
      </c>
      <c r="F88" s="9">
        <v>244</v>
      </c>
      <c r="G88" t="s">
        <v>86</v>
      </c>
    </row>
    <row r="89" spans="1:7" ht="18" x14ac:dyDescent="0.35">
      <c r="A89" s="24" t="s">
        <v>269</v>
      </c>
      <c r="B89" s="24"/>
      <c r="C89" s="24"/>
      <c r="D89" s="24"/>
      <c r="E89" t="s">
        <v>303</v>
      </c>
      <c r="F89" s="9">
        <v>0</v>
      </c>
      <c r="G89" t="s">
        <v>86</v>
      </c>
    </row>
    <row r="90" spans="1:7" ht="18" x14ac:dyDescent="0.35">
      <c r="A90" s="24" t="s">
        <v>270</v>
      </c>
      <c r="B90" s="24"/>
      <c r="C90" s="24"/>
      <c r="D90" s="24"/>
      <c r="E90" t="s">
        <v>304</v>
      </c>
      <c r="F90" s="9">
        <v>761</v>
      </c>
      <c r="G90" t="s">
        <v>86</v>
      </c>
    </row>
    <row r="91" spans="1:7" ht="18" x14ac:dyDescent="0.35">
      <c r="A91" s="24" t="s">
        <v>271</v>
      </c>
      <c r="B91" s="24"/>
      <c r="C91" s="24"/>
      <c r="D91" s="24"/>
      <c r="E91" t="s">
        <v>305</v>
      </c>
      <c r="F91" s="9">
        <v>0</v>
      </c>
      <c r="G91" t="s">
        <v>86</v>
      </c>
    </row>
    <row r="92" spans="1:7" ht="18" x14ac:dyDescent="0.35">
      <c r="A92" s="24" t="s">
        <v>272</v>
      </c>
      <c r="B92" s="24"/>
      <c r="C92" s="24"/>
      <c r="D92" s="24"/>
      <c r="E92" t="s">
        <v>306</v>
      </c>
      <c r="F92" s="9">
        <v>275</v>
      </c>
      <c r="G92" t="s">
        <v>86</v>
      </c>
    </row>
    <row r="93" spans="1:7" ht="18" x14ac:dyDescent="0.35">
      <c r="A93" s="24" t="s">
        <v>78</v>
      </c>
      <c r="B93" s="24"/>
      <c r="C93" s="24"/>
      <c r="D93" s="24"/>
      <c r="E93" t="s">
        <v>216</v>
      </c>
      <c r="F93" s="9">
        <v>0</v>
      </c>
      <c r="G93" t="s">
        <v>42</v>
      </c>
    </row>
    <row r="94" spans="1:7" ht="18" x14ac:dyDescent="0.35">
      <c r="A94" s="24" t="s">
        <v>79</v>
      </c>
      <c r="B94" s="24"/>
      <c r="C94" s="24"/>
      <c r="D94" s="24"/>
      <c r="E94" t="s">
        <v>217</v>
      </c>
      <c r="F94" s="9">
        <v>57</v>
      </c>
      <c r="G94" t="s">
        <v>42</v>
      </c>
    </row>
    <row r="95" spans="1:7" ht="29.25" customHeight="1" x14ac:dyDescent="0.35">
      <c r="A95" s="25" t="s">
        <v>82</v>
      </c>
      <c r="B95" s="25"/>
      <c r="C95" s="25"/>
      <c r="D95" s="25"/>
      <c r="E95" t="s">
        <v>218</v>
      </c>
      <c r="F95">
        <v>18.5</v>
      </c>
    </row>
    <row r="96" spans="1:7" ht="18" x14ac:dyDescent="0.35">
      <c r="A96" s="25" t="s">
        <v>83</v>
      </c>
      <c r="B96" s="25"/>
      <c r="C96" s="25"/>
      <c r="D96" s="25"/>
      <c r="E96" t="s">
        <v>219</v>
      </c>
      <c r="F96">
        <v>21.37</v>
      </c>
    </row>
    <row r="98" spans="1:7" x14ac:dyDescent="0.25">
      <c r="A98" s="19" t="s">
        <v>628</v>
      </c>
      <c r="B98" s="19"/>
      <c r="C98" s="19"/>
      <c r="D98" s="19"/>
      <c r="E98" s="19"/>
      <c r="F98" s="19"/>
      <c r="G98" s="19"/>
    </row>
    <row r="99" spans="1:7" ht="18" x14ac:dyDescent="0.35">
      <c r="A99" s="24" t="s">
        <v>58</v>
      </c>
      <c r="B99" s="24"/>
      <c r="C99" s="24"/>
      <c r="D99" s="24"/>
      <c r="E99" t="s">
        <v>307</v>
      </c>
      <c r="F99" s="9">
        <v>0</v>
      </c>
      <c r="G99" t="s">
        <v>86</v>
      </c>
    </row>
    <row r="100" spans="1:7" ht="18" x14ac:dyDescent="0.35">
      <c r="A100" s="24" t="s">
        <v>60</v>
      </c>
      <c r="B100" s="24"/>
      <c r="C100" s="24"/>
      <c r="D100" s="24"/>
      <c r="E100" t="s">
        <v>308</v>
      </c>
      <c r="F100" s="9">
        <v>425</v>
      </c>
      <c r="G100" t="s">
        <v>86</v>
      </c>
    </row>
    <row r="101" spans="1:7" ht="18" x14ac:dyDescent="0.35">
      <c r="A101" s="24" t="s">
        <v>59</v>
      </c>
      <c r="B101" s="24"/>
      <c r="C101" s="24"/>
      <c r="D101" s="24"/>
      <c r="E101" t="s">
        <v>309</v>
      </c>
      <c r="F101" s="9">
        <v>0</v>
      </c>
      <c r="G101" t="s">
        <v>86</v>
      </c>
    </row>
    <row r="102" spans="1:7" ht="18" x14ac:dyDescent="0.35">
      <c r="A102" s="24" t="s">
        <v>63</v>
      </c>
      <c r="B102" s="24"/>
      <c r="C102" s="24"/>
      <c r="D102" s="24"/>
      <c r="E102" t="s">
        <v>310</v>
      </c>
      <c r="F102" s="9">
        <v>780</v>
      </c>
      <c r="G102" t="s">
        <v>86</v>
      </c>
    </row>
    <row r="103" spans="1:7" ht="18" x14ac:dyDescent="0.35">
      <c r="A103" s="24" t="s">
        <v>64</v>
      </c>
      <c r="B103" s="24"/>
      <c r="C103" s="24"/>
      <c r="D103" s="24"/>
      <c r="E103" t="s">
        <v>311</v>
      </c>
      <c r="F103" s="9">
        <v>0</v>
      </c>
      <c r="G103" t="s">
        <v>86</v>
      </c>
    </row>
    <row r="104" spans="1:7" ht="18" x14ac:dyDescent="0.35">
      <c r="A104" s="24" t="s">
        <v>65</v>
      </c>
      <c r="B104" s="24"/>
      <c r="C104" s="24"/>
      <c r="D104" s="24"/>
      <c r="E104" t="s">
        <v>312</v>
      </c>
      <c r="F104" s="9">
        <v>845</v>
      </c>
      <c r="G104" t="s">
        <v>86</v>
      </c>
    </row>
    <row r="105" spans="1:7" ht="18" x14ac:dyDescent="0.35">
      <c r="A105" s="24" t="s">
        <v>66</v>
      </c>
      <c r="B105" s="24"/>
      <c r="C105" s="24"/>
      <c r="D105" s="24"/>
      <c r="E105" t="s">
        <v>313</v>
      </c>
      <c r="F105" s="9">
        <v>0</v>
      </c>
      <c r="G105" t="s">
        <v>86</v>
      </c>
    </row>
    <row r="106" spans="1:7" ht="18" x14ac:dyDescent="0.35">
      <c r="A106" s="24" t="s">
        <v>67</v>
      </c>
      <c r="B106" s="24"/>
      <c r="C106" s="24"/>
      <c r="D106" s="24"/>
      <c r="E106" t="s">
        <v>314</v>
      </c>
      <c r="F106" s="9">
        <v>57</v>
      </c>
      <c r="G106" t="s">
        <v>86</v>
      </c>
    </row>
    <row r="107" spans="1:7" ht="18" x14ac:dyDescent="0.35">
      <c r="A107" s="24" t="s">
        <v>68</v>
      </c>
      <c r="B107" s="24"/>
      <c r="C107" s="24"/>
      <c r="D107" s="24"/>
      <c r="E107" t="s">
        <v>315</v>
      </c>
      <c r="F107" s="9">
        <v>0</v>
      </c>
      <c r="G107" t="s">
        <v>86</v>
      </c>
    </row>
    <row r="108" spans="1:7" ht="18" x14ac:dyDescent="0.35">
      <c r="A108" s="24" t="s">
        <v>69</v>
      </c>
      <c r="B108" s="24"/>
      <c r="C108" s="24"/>
      <c r="D108" s="24"/>
      <c r="E108" t="s">
        <v>316</v>
      </c>
      <c r="F108" s="9">
        <v>33</v>
      </c>
      <c r="G108" t="s">
        <v>86</v>
      </c>
    </row>
    <row r="109" spans="1:7" ht="18" x14ac:dyDescent="0.35">
      <c r="A109" s="24" t="s">
        <v>263</v>
      </c>
      <c r="B109" s="24"/>
      <c r="C109" s="24"/>
      <c r="D109" s="24"/>
      <c r="E109" t="s">
        <v>317</v>
      </c>
      <c r="F109" s="9">
        <v>0</v>
      </c>
      <c r="G109" t="s">
        <v>86</v>
      </c>
    </row>
    <row r="110" spans="1:7" ht="18" x14ac:dyDescent="0.35">
      <c r="A110" s="24" t="s">
        <v>264</v>
      </c>
      <c r="B110" s="24"/>
      <c r="C110" s="24"/>
      <c r="D110" s="24"/>
      <c r="E110" t="s">
        <v>318</v>
      </c>
      <c r="F110" s="9">
        <v>187</v>
      </c>
      <c r="G110" t="s">
        <v>86</v>
      </c>
    </row>
    <row r="111" spans="1:7" ht="18" x14ac:dyDescent="0.35">
      <c r="A111" s="24" t="s">
        <v>265</v>
      </c>
      <c r="B111" s="24"/>
      <c r="C111" s="24"/>
      <c r="D111" s="24"/>
      <c r="E111" t="s">
        <v>319</v>
      </c>
      <c r="F111" s="9">
        <v>0</v>
      </c>
      <c r="G111" t="s">
        <v>86</v>
      </c>
    </row>
    <row r="112" spans="1:7" ht="18" x14ac:dyDescent="0.35">
      <c r="A112" s="24" t="s">
        <v>266</v>
      </c>
      <c r="B112" s="24"/>
      <c r="C112" s="24"/>
      <c r="D112" s="24"/>
      <c r="E112" t="s">
        <v>320</v>
      </c>
      <c r="F112" s="9">
        <v>742</v>
      </c>
      <c r="G112" t="s">
        <v>86</v>
      </c>
    </row>
    <row r="113" spans="1:7" ht="18" x14ac:dyDescent="0.35">
      <c r="A113" s="24" t="s">
        <v>267</v>
      </c>
      <c r="B113" s="24"/>
      <c r="C113" s="24"/>
      <c r="D113" s="24"/>
      <c r="E113" t="s">
        <v>321</v>
      </c>
      <c r="F113" s="9">
        <v>0</v>
      </c>
      <c r="G113" t="s">
        <v>86</v>
      </c>
    </row>
    <row r="114" spans="1:7" ht="18" x14ac:dyDescent="0.35">
      <c r="A114" s="24" t="s">
        <v>268</v>
      </c>
      <c r="B114" s="24"/>
      <c r="C114" s="24"/>
      <c r="D114" s="24"/>
      <c r="E114" t="s">
        <v>322</v>
      </c>
      <c r="F114" s="9">
        <v>906</v>
      </c>
      <c r="G114" t="s">
        <v>86</v>
      </c>
    </row>
    <row r="115" spans="1:7" ht="18" x14ac:dyDescent="0.35">
      <c r="A115" s="24" t="s">
        <v>269</v>
      </c>
      <c r="B115" s="24"/>
      <c r="C115" s="24"/>
      <c r="D115" s="24"/>
      <c r="E115" t="s">
        <v>323</v>
      </c>
      <c r="F115" s="9">
        <v>0</v>
      </c>
      <c r="G115" t="s">
        <v>86</v>
      </c>
    </row>
    <row r="116" spans="1:7" ht="18" x14ac:dyDescent="0.35">
      <c r="A116" s="24" t="s">
        <v>270</v>
      </c>
      <c r="B116" s="24"/>
      <c r="C116" s="24"/>
      <c r="D116" s="24"/>
      <c r="E116" t="s">
        <v>324</v>
      </c>
      <c r="F116" s="9">
        <v>2</v>
      </c>
      <c r="G116" t="s">
        <v>86</v>
      </c>
    </row>
    <row r="117" spans="1:7" ht="18" x14ac:dyDescent="0.35">
      <c r="A117" s="24" t="s">
        <v>78</v>
      </c>
      <c r="B117" s="24"/>
      <c r="C117" s="24"/>
      <c r="D117" s="24"/>
      <c r="E117" t="s">
        <v>325</v>
      </c>
      <c r="F117" s="9">
        <v>0</v>
      </c>
      <c r="G117" t="s">
        <v>42</v>
      </c>
    </row>
    <row r="118" spans="1:7" ht="18" x14ac:dyDescent="0.35">
      <c r="A118" s="24" t="s">
        <v>79</v>
      </c>
      <c r="B118" s="24"/>
      <c r="C118" s="24"/>
      <c r="D118" s="24"/>
      <c r="E118" t="s">
        <v>326</v>
      </c>
      <c r="F118" s="9">
        <v>49</v>
      </c>
      <c r="G118" t="s">
        <v>42</v>
      </c>
    </row>
    <row r="119" spans="1:7" ht="28.5" customHeight="1" x14ac:dyDescent="0.35">
      <c r="A119" s="25" t="s">
        <v>82</v>
      </c>
      <c r="B119" s="25"/>
      <c r="C119" s="25"/>
      <c r="D119" s="25"/>
      <c r="E119" t="s">
        <v>327</v>
      </c>
      <c r="F119">
        <v>17.07</v>
      </c>
    </row>
    <row r="120" spans="1:7" ht="18" x14ac:dyDescent="0.35">
      <c r="A120" s="25" t="s">
        <v>83</v>
      </c>
      <c r="B120" s="25"/>
      <c r="C120" s="25"/>
      <c r="D120" s="25"/>
      <c r="E120" t="s">
        <v>328</v>
      </c>
      <c r="F120">
        <v>21.4</v>
      </c>
    </row>
    <row r="122" spans="1:7" x14ac:dyDescent="0.25">
      <c r="A122" s="19" t="s">
        <v>629</v>
      </c>
      <c r="B122" s="19"/>
      <c r="C122" s="19"/>
      <c r="D122" s="19"/>
      <c r="E122" s="19"/>
      <c r="F122" s="19"/>
      <c r="G122" s="19"/>
    </row>
    <row r="123" spans="1:7" ht="18" x14ac:dyDescent="0.35">
      <c r="A123" s="24" t="s">
        <v>58</v>
      </c>
      <c r="B123" s="24"/>
      <c r="C123" s="24"/>
      <c r="D123" s="24"/>
      <c r="E123" t="s">
        <v>329</v>
      </c>
      <c r="F123" s="9">
        <v>0</v>
      </c>
      <c r="G123" t="s">
        <v>86</v>
      </c>
    </row>
    <row r="124" spans="1:7" ht="18" x14ac:dyDescent="0.35">
      <c r="A124" s="24" t="s">
        <v>60</v>
      </c>
      <c r="B124" s="24"/>
      <c r="C124" s="24"/>
      <c r="D124" s="24"/>
      <c r="E124" t="s">
        <v>330</v>
      </c>
      <c r="F124" s="9">
        <v>496</v>
      </c>
      <c r="G124" t="s">
        <v>86</v>
      </c>
    </row>
    <row r="125" spans="1:7" ht="18" x14ac:dyDescent="0.35">
      <c r="A125" s="24" t="s">
        <v>59</v>
      </c>
      <c r="B125" s="24"/>
      <c r="C125" s="24"/>
      <c r="D125" s="24"/>
      <c r="E125" t="s">
        <v>331</v>
      </c>
      <c r="F125" s="9">
        <v>0</v>
      </c>
      <c r="G125" t="s">
        <v>86</v>
      </c>
    </row>
    <row r="126" spans="1:7" ht="18" x14ac:dyDescent="0.35">
      <c r="A126" s="24" t="s">
        <v>63</v>
      </c>
      <c r="B126" s="24"/>
      <c r="C126" s="24"/>
      <c r="D126" s="24"/>
      <c r="E126" t="s">
        <v>332</v>
      </c>
      <c r="F126" s="9">
        <v>1736</v>
      </c>
      <c r="G126" t="s">
        <v>86</v>
      </c>
    </row>
    <row r="127" spans="1:7" ht="18" x14ac:dyDescent="0.35">
      <c r="A127" s="24" t="s">
        <v>64</v>
      </c>
      <c r="B127" s="24"/>
      <c r="C127" s="24"/>
      <c r="D127" s="24"/>
      <c r="E127" t="s">
        <v>333</v>
      </c>
      <c r="F127" s="9">
        <v>0</v>
      </c>
      <c r="G127" t="s">
        <v>86</v>
      </c>
    </row>
    <row r="128" spans="1:7" ht="18" x14ac:dyDescent="0.35">
      <c r="A128" s="24" t="s">
        <v>65</v>
      </c>
      <c r="B128" s="24"/>
      <c r="C128" s="24"/>
      <c r="D128" s="24"/>
      <c r="E128" t="s">
        <v>334</v>
      </c>
      <c r="F128" s="9">
        <v>1016</v>
      </c>
      <c r="G128" t="s">
        <v>86</v>
      </c>
    </row>
    <row r="129" spans="1:7" ht="18" x14ac:dyDescent="0.35">
      <c r="A129" s="24" t="s">
        <v>66</v>
      </c>
      <c r="B129" s="24"/>
      <c r="C129" s="24"/>
      <c r="D129" s="24"/>
      <c r="E129" t="s">
        <v>335</v>
      </c>
      <c r="F129" s="9">
        <v>0</v>
      </c>
      <c r="G129" t="s">
        <v>86</v>
      </c>
    </row>
    <row r="130" spans="1:7" ht="18" x14ac:dyDescent="0.35">
      <c r="A130" s="24" t="s">
        <v>67</v>
      </c>
      <c r="B130" s="24"/>
      <c r="C130" s="24"/>
      <c r="D130" s="24"/>
      <c r="E130" t="s">
        <v>336</v>
      </c>
      <c r="F130" s="9">
        <v>1539</v>
      </c>
      <c r="G130" t="s">
        <v>86</v>
      </c>
    </row>
    <row r="131" spans="1:7" ht="18" x14ac:dyDescent="0.35">
      <c r="A131" s="24" t="s">
        <v>68</v>
      </c>
      <c r="B131" s="24"/>
      <c r="C131" s="24"/>
      <c r="D131" s="24"/>
      <c r="E131" t="s">
        <v>337</v>
      </c>
      <c r="F131" s="9">
        <v>0</v>
      </c>
      <c r="G131" t="s">
        <v>86</v>
      </c>
    </row>
    <row r="132" spans="1:7" ht="18" x14ac:dyDescent="0.35">
      <c r="A132" s="24" t="s">
        <v>69</v>
      </c>
      <c r="B132" s="24"/>
      <c r="C132" s="24"/>
      <c r="D132" s="24"/>
      <c r="E132" t="s">
        <v>338</v>
      </c>
      <c r="F132" s="9">
        <v>1239</v>
      </c>
      <c r="G132" t="s">
        <v>86</v>
      </c>
    </row>
    <row r="133" spans="1:7" ht="18" x14ac:dyDescent="0.35">
      <c r="A133" s="24" t="s">
        <v>263</v>
      </c>
      <c r="B133" s="24"/>
      <c r="C133" s="24"/>
      <c r="D133" s="24"/>
      <c r="E133" t="s">
        <v>339</v>
      </c>
      <c r="F133" s="9">
        <v>0</v>
      </c>
      <c r="G133" t="s">
        <v>86</v>
      </c>
    </row>
    <row r="134" spans="1:7" ht="18" x14ac:dyDescent="0.35">
      <c r="A134" s="24" t="s">
        <v>264</v>
      </c>
      <c r="B134" s="24"/>
      <c r="C134" s="24"/>
      <c r="D134" s="24"/>
      <c r="E134" t="s">
        <v>340</v>
      </c>
      <c r="F134" s="9">
        <v>1412</v>
      </c>
      <c r="G134" t="s">
        <v>86</v>
      </c>
    </row>
    <row r="135" spans="1:7" ht="18" x14ac:dyDescent="0.35">
      <c r="A135" s="24" t="s">
        <v>265</v>
      </c>
      <c r="B135" s="24"/>
      <c r="C135" s="24"/>
      <c r="D135" s="24"/>
      <c r="E135" t="s">
        <v>341</v>
      </c>
      <c r="F135" s="9">
        <v>0</v>
      </c>
      <c r="G135" t="s">
        <v>86</v>
      </c>
    </row>
    <row r="136" spans="1:7" ht="18" x14ac:dyDescent="0.35">
      <c r="A136" s="24" t="s">
        <v>266</v>
      </c>
      <c r="B136" s="24"/>
      <c r="C136" s="24"/>
      <c r="D136" s="24"/>
      <c r="E136" t="s">
        <v>342</v>
      </c>
      <c r="F136" s="9">
        <v>1412</v>
      </c>
      <c r="G136" t="s">
        <v>86</v>
      </c>
    </row>
    <row r="137" spans="1:7" ht="18" x14ac:dyDescent="0.35">
      <c r="A137" s="24" t="s">
        <v>267</v>
      </c>
      <c r="B137" s="24"/>
      <c r="C137" s="24"/>
      <c r="D137" s="24"/>
      <c r="E137" t="s">
        <v>343</v>
      </c>
      <c r="F137" s="9">
        <v>0</v>
      </c>
      <c r="G137" t="s">
        <v>86</v>
      </c>
    </row>
    <row r="138" spans="1:7" ht="18" x14ac:dyDescent="0.35">
      <c r="A138" s="24" t="s">
        <v>268</v>
      </c>
      <c r="B138" s="24"/>
      <c r="C138" s="24"/>
      <c r="D138" s="24"/>
      <c r="E138" t="s">
        <v>344</v>
      </c>
      <c r="F138" s="9">
        <v>1412</v>
      </c>
      <c r="G138" t="s">
        <v>86</v>
      </c>
    </row>
    <row r="139" spans="1:7" ht="18" x14ac:dyDescent="0.35">
      <c r="A139" s="24" t="s">
        <v>78</v>
      </c>
      <c r="B139" s="24"/>
      <c r="C139" s="24"/>
      <c r="D139" s="24"/>
      <c r="E139" t="s">
        <v>345</v>
      </c>
      <c r="F139" s="9">
        <v>0</v>
      </c>
      <c r="G139" t="s">
        <v>42</v>
      </c>
    </row>
    <row r="140" spans="1:7" ht="18" x14ac:dyDescent="0.35">
      <c r="A140" s="24" t="s">
        <v>79</v>
      </c>
      <c r="B140" s="24"/>
      <c r="C140" s="24"/>
      <c r="D140" s="24"/>
      <c r="E140" t="s">
        <v>346</v>
      </c>
      <c r="F140" s="9">
        <v>49</v>
      </c>
      <c r="G140" t="s">
        <v>42</v>
      </c>
    </row>
    <row r="141" spans="1:7" ht="29.25" customHeight="1" x14ac:dyDescent="0.35">
      <c r="A141" s="25" t="s">
        <v>82</v>
      </c>
      <c r="B141" s="25"/>
      <c r="C141" s="25"/>
      <c r="D141" s="25"/>
      <c r="E141" t="s">
        <v>347</v>
      </c>
      <c r="F141">
        <v>23.17</v>
      </c>
    </row>
    <row r="142" spans="1:7" ht="18" x14ac:dyDescent="0.35">
      <c r="A142" s="25" t="s">
        <v>83</v>
      </c>
      <c r="B142" s="25"/>
      <c r="C142" s="25"/>
      <c r="D142" s="25"/>
      <c r="E142" t="s">
        <v>348</v>
      </c>
      <c r="F142">
        <v>25.87</v>
      </c>
    </row>
    <row r="144" spans="1:7" x14ac:dyDescent="0.25">
      <c r="A144" s="19" t="s">
        <v>630</v>
      </c>
      <c r="B144" s="19"/>
      <c r="C144" s="19"/>
      <c r="D144" s="19"/>
      <c r="E144" s="19"/>
      <c r="F144" s="19"/>
      <c r="G144" s="19"/>
    </row>
    <row r="145" spans="1:7" ht="18" x14ac:dyDescent="0.35">
      <c r="A145" s="24" t="s">
        <v>58</v>
      </c>
      <c r="B145" s="24"/>
      <c r="C145" s="24"/>
      <c r="D145" s="24"/>
      <c r="E145" t="s">
        <v>349</v>
      </c>
      <c r="F145" s="9">
        <v>0</v>
      </c>
      <c r="G145" t="s">
        <v>86</v>
      </c>
    </row>
    <row r="146" spans="1:7" ht="18" x14ac:dyDescent="0.35">
      <c r="A146" s="24" t="s">
        <v>60</v>
      </c>
      <c r="B146" s="24"/>
      <c r="C146" s="24"/>
      <c r="D146" s="24"/>
      <c r="E146" t="s">
        <v>350</v>
      </c>
      <c r="F146" s="9">
        <v>496</v>
      </c>
      <c r="G146" t="s">
        <v>86</v>
      </c>
    </row>
    <row r="147" spans="1:7" ht="18" x14ac:dyDescent="0.35">
      <c r="A147" s="24" t="s">
        <v>59</v>
      </c>
      <c r="B147" s="24"/>
      <c r="C147" s="24"/>
      <c r="D147" s="24"/>
      <c r="E147" t="s">
        <v>351</v>
      </c>
      <c r="F147" s="9">
        <v>0</v>
      </c>
      <c r="G147" t="s">
        <v>86</v>
      </c>
    </row>
    <row r="148" spans="1:7" ht="18" x14ac:dyDescent="0.35">
      <c r="A148" s="24" t="s">
        <v>63</v>
      </c>
      <c r="B148" s="24"/>
      <c r="C148" s="24"/>
      <c r="D148" s="24"/>
      <c r="E148" t="s">
        <v>352</v>
      </c>
      <c r="F148" s="9">
        <v>1736</v>
      </c>
      <c r="G148" t="s">
        <v>86</v>
      </c>
    </row>
    <row r="149" spans="1:7" ht="18" x14ac:dyDescent="0.35">
      <c r="A149" s="24" t="s">
        <v>64</v>
      </c>
      <c r="B149" s="24"/>
      <c r="C149" s="24"/>
      <c r="D149" s="24"/>
      <c r="E149" t="s">
        <v>353</v>
      </c>
      <c r="F149" s="9">
        <v>0</v>
      </c>
      <c r="G149" t="s">
        <v>86</v>
      </c>
    </row>
    <row r="150" spans="1:7" ht="18" x14ac:dyDescent="0.35">
      <c r="A150" s="24" t="s">
        <v>65</v>
      </c>
      <c r="B150" s="24"/>
      <c r="C150" s="24"/>
      <c r="D150" s="24"/>
      <c r="E150" t="s">
        <v>354</v>
      </c>
      <c r="F150" s="9">
        <v>1016</v>
      </c>
      <c r="G150" t="s">
        <v>86</v>
      </c>
    </row>
    <row r="151" spans="1:7" ht="18" x14ac:dyDescent="0.35">
      <c r="A151" s="24" t="s">
        <v>66</v>
      </c>
      <c r="B151" s="24"/>
      <c r="C151" s="24"/>
      <c r="D151" s="24"/>
      <c r="E151" t="s">
        <v>355</v>
      </c>
      <c r="F151" s="9">
        <v>0</v>
      </c>
      <c r="G151" t="s">
        <v>86</v>
      </c>
    </row>
    <row r="152" spans="1:7" ht="18" x14ac:dyDescent="0.35">
      <c r="A152" s="24" t="s">
        <v>67</v>
      </c>
      <c r="B152" s="24"/>
      <c r="C152" s="24"/>
      <c r="D152" s="24"/>
      <c r="E152" t="s">
        <v>356</v>
      </c>
      <c r="F152" s="9">
        <v>1539</v>
      </c>
      <c r="G152" t="s">
        <v>86</v>
      </c>
    </row>
    <row r="153" spans="1:7" ht="18" x14ac:dyDescent="0.35">
      <c r="A153" s="24" t="s">
        <v>68</v>
      </c>
      <c r="B153" s="24"/>
      <c r="C153" s="24"/>
      <c r="D153" s="24"/>
      <c r="E153" t="s">
        <v>357</v>
      </c>
      <c r="F153" s="9">
        <v>0</v>
      </c>
      <c r="G153" t="s">
        <v>86</v>
      </c>
    </row>
    <row r="154" spans="1:7" ht="18" x14ac:dyDescent="0.35">
      <c r="A154" s="24" t="s">
        <v>69</v>
      </c>
      <c r="B154" s="24"/>
      <c r="C154" s="24"/>
      <c r="D154" s="24"/>
      <c r="E154" t="s">
        <v>358</v>
      </c>
      <c r="F154" s="9">
        <v>1239</v>
      </c>
      <c r="G154" t="s">
        <v>86</v>
      </c>
    </row>
    <row r="155" spans="1:7" ht="18" x14ac:dyDescent="0.35">
      <c r="A155" s="24" t="s">
        <v>263</v>
      </c>
      <c r="B155" s="24"/>
      <c r="C155" s="24"/>
      <c r="D155" s="24"/>
      <c r="E155" t="s">
        <v>359</v>
      </c>
      <c r="F155" s="9">
        <v>0</v>
      </c>
      <c r="G155" t="s">
        <v>86</v>
      </c>
    </row>
    <row r="156" spans="1:7" ht="18" x14ac:dyDescent="0.35">
      <c r="A156" s="24" t="s">
        <v>264</v>
      </c>
      <c r="B156" s="24"/>
      <c r="C156" s="24"/>
      <c r="D156" s="24"/>
      <c r="E156" t="s">
        <v>360</v>
      </c>
      <c r="F156" s="9">
        <v>1412</v>
      </c>
      <c r="G156" t="s">
        <v>86</v>
      </c>
    </row>
    <row r="157" spans="1:7" ht="18" x14ac:dyDescent="0.35">
      <c r="A157" s="24" t="s">
        <v>265</v>
      </c>
      <c r="B157" s="24"/>
      <c r="C157" s="24"/>
      <c r="D157" s="24"/>
      <c r="E157" t="s">
        <v>361</v>
      </c>
      <c r="F157" s="9">
        <v>0</v>
      </c>
      <c r="G157" t="s">
        <v>86</v>
      </c>
    </row>
    <row r="158" spans="1:7" ht="18" x14ac:dyDescent="0.35">
      <c r="A158" s="24" t="s">
        <v>266</v>
      </c>
      <c r="B158" s="24"/>
      <c r="C158" s="24"/>
      <c r="D158" s="24"/>
      <c r="E158" t="s">
        <v>362</v>
      </c>
      <c r="F158" s="9">
        <v>1412</v>
      </c>
      <c r="G158" t="s">
        <v>86</v>
      </c>
    </row>
    <row r="159" spans="1:7" ht="18" x14ac:dyDescent="0.35">
      <c r="A159" s="24" t="s">
        <v>267</v>
      </c>
      <c r="B159" s="24"/>
      <c r="C159" s="24"/>
      <c r="D159" s="24"/>
      <c r="E159" t="s">
        <v>363</v>
      </c>
      <c r="F159" s="9">
        <v>0</v>
      </c>
      <c r="G159" t="s">
        <v>86</v>
      </c>
    </row>
    <row r="160" spans="1:7" ht="18" x14ac:dyDescent="0.35">
      <c r="A160" s="24" t="s">
        <v>268</v>
      </c>
      <c r="B160" s="24"/>
      <c r="C160" s="24"/>
      <c r="D160" s="24"/>
      <c r="E160" t="s">
        <v>364</v>
      </c>
      <c r="F160" s="9">
        <v>1412</v>
      </c>
      <c r="G160" t="s">
        <v>86</v>
      </c>
    </row>
    <row r="161" spans="1:7" ht="18" x14ac:dyDescent="0.35">
      <c r="A161" s="24" t="s">
        <v>78</v>
      </c>
      <c r="B161" s="24"/>
      <c r="C161" s="24"/>
      <c r="D161" s="24"/>
      <c r="E161" t="s">
        <v>365</v>
      </c>
      <c r="F161" s="9">
        <v>0</v>
      </c>
      <c r="G161" t="s">
        <v>42</v>
      </c>
    </row>
    <row r="162" spans="1:7" ht="18" x14ac:dyDescent="0.35">
      <c r="A162" s="24" t="s">
        <v>79</v>
      </c>
      <c r="B162" s="24"/>
      <c r="C162" s="24"/>
      <c r="D162" s="24"/>
      <c r="E162" t="s">
        <v>366</v>
      </c>
      <c r="F162" s="9">
        <v>0</v>
      </c>
      <c r="G162" t="s">
        <v>42</v>
      </c>
    </row>
    <row r="163" spans="1:7" ht="26.25" customHeight="1" x14ac:dyDescent="0.35">
      <c r="A163" s="25" t="s">
        <v>82</v>
      </c>
      <c r="B163" s="25"/>
      <c r="C163" s="25"/>
      <c r="D163" s="25"/>
      <c r="E163" t="s">
        <v>367</v>
      </c>
      <c r="F163">
        <v>20.309999999999999</v>
      </c>
    </row>
    <row r="164" spans="1:7" ht="18" x14ac:dyDescent="0.35">
      <c r="A164" s="25" t="s">
        <v>83</v>
      </c>
      <c r="B164" s="25"/>
      <c r="C164" s="25"/>
      <c r="D164" s="25"/>
      <c r="E164" t="s">
        <v>368</v>
      </c>
      <c r="F164">
        <v>2.06</v>
      </c>
    </row>
    <row r="166" spans="1:7" x14ac:dyDescent="0.25">
      <c r="A166" s="19" t="s">
        <v>631</v>
      </c>
      <c r="B166" s="19"/>
      <c r="C166" s="19"/>
      <c r="D166" s="19"/>
      <c r="E166" s="19"/>
      <c r="F166" s="19"/>
      <c r="G166" s="19"/>
    </row>
    <row r="167" spans="1:7" ht="18" x14ac:dyDescent="0.35">
      <c r="A167" s="24" t="s">
        <v>58</v>
      </c>
      <c r="B167" s="24"/>
      <c r="C167" s="24"/>
      <c r="D167" s="24"/>
      <c r="E167" t="s">
        <v>369</v>
      </c>
      <c r="F167" s="9">
        <v>0</v>
      </c>
      <c r="G167" t="s">
        <v>86</v>
      </c>
    </row>
    <row r="168" spans="1:7" ht="18" x14ac:dyDescent="0.35">
      <c r="A168" s="24" t="s">
        <v>60</v>
      </c>
      <c r="B168" s="24"/>
      <c r="C168" s="24"/>
      <c r="D168" s="24"/>
      <c r="E168" t="s">
        <v>370</v>
      </c>
      <c r="F168" s="9">
        <v>608</v>
      </c>
      <c r="G168" t="s">
        <v>86</v>
      </c>
    </row>
    <row r="169" spans="1:7" ht="18" x14ac:dyDescent="0.35">
      <c r="A169" s="24" t="s">
        <v>59</v>
      </c>
      <c r="B169" s="24"/>
      <c r="C169" s="24"/>
      <c r="D169" s="24"/>
      <c r="E169" t="s">
        <v>371</v>
      </c>
      <c r="F169" s="9">
        <v>0</v>
      </c>
      <c r="G169" t="s">
        <v>86</v>
      </c>
    </row>
    <row r="170" spans="1:7" ht="18" x14ac:dyDescent="0.35">
      <c r="A170" s="24" t="s">
        <v>63</v>
      </c>
      <c r="B170" s="24"/>
      <c r="C170" s="24"/>
      <c r="D170" s="24"/>
      <c r="E170" t="s">
        <v>372</v>
      </c>
      <c r="F170" s="9">
        <v>2016</v>
      </c>
      <c r="G170" t="s">
        <v>86</v>
      </c>
    </row>
    <row r="171" spans="1:7" ht="18" x14ac:dyDescent="0.35">
      <c r="A171" s="24" t="s">
        <v>64</v>
      </c>
      <c r="B171" s="24"/>
      <c r="C171" s="24"/>
      <c r="D171" s="24"/>
      <c r="E171" t="s">
        <v>373</v>
      </c>
      <c r="F171" s="9">
        <v>0</v>
      </c>
      <c r="G171" t="s">
        <v>86</v>
      </c>
    </row>
    <row r="172" spans="1:7" ht="18" x14ac:dyDescent="0.35">
      <c r="A172" s="24" t="s">
        <v>65</v>
      </c>
      <c r="B172" s="24"/>
      <c r="C172" s="24"/>
      <c r="D172" s="24"/>
      <c r="E172" t="s">
        <v>374</v>
      </c>
      <c r="F172" s="9">
        <v>1260</v>
      </c>
      <c r="G172" t="s">
        <v>86</v>
      </c>
    </row>
    <row r="173" spans="1:7" ht="18" x14ac:dyDescent="0.35">
      <c r="A173" s="24" t="s">
        <v>66</v>
      </c>
      <c r="B173" s="24"/>
      <c r="C173" s="24"/>
      <c r="D173" s="24"/>
      <c r="E173" t="s">
        <v>375</v>
      </c>
      <c r="F173" s="9">
        <v>0</v>
      </c>
      <c r="G173" t="s">
        <v>86</v>
      </c>
    </row>
    <row r="174" spans="1:7" ht="18" x14ac:dyDescent="0.35">
      <c r="A174" s="24" t="s">
        <v>67</v>
      </c>
      <c r="B174" s="24"/>
      <c r="C174" s="24"/>
      <c r="D174" s="24"/>
      <c r="E174" t="s">
        <v>376</v>
      </c>
      <c r="F174" s="9">
        <v>1512</v>
      </c>
      <c r="G174" t="s">
        <v>86</v>
      </c>
    </row>
    <row r="175" spans="1:7" ht="18" x14ac:dyDescent="0.35">
      <c r="A175" s="24" t="s">
        <v>68</v>
      </c>
      <c r="B175" s="24"/>
      <c r="C175" s="24"/>
      <c r="D175" s="24"/>
      <c r="E175" t="s">
        <v>377</v>
      </c>
      <c r="F175" s="9">
        <v>0</v>
      </c>
      <c r="G175" t="s">
        <v>86</v>
      </c>
    </row>
    <row r="176" spans="1:7" ht="18" x14ac:dyDescent="0.35">
      <c r="A176" s="24" t="s">
        <v>69</v>
      </c>
      <c r="B176" s="24"/>
      <c r="C176" s="24"/>
      <c r="D176" s="24"/>
      <c r="E176" t="s">
        <v>378</v>
      </c>
      <c r="F176" s="9">
        <v>1412</v>
      </c>
      <c r="G176" t="s">
        <v>86</v>
      </c>
    </row>
    <row r="177" spans="1:7" ht="18" x14ac:dyDescent="0.35">
      <c r="A177" s="24" t="s">
        <v>263</v>
      </c>
      <c r="B177" s="24"/>
      <c r="C177" s="24"/>
      <c r="D177" s="24"/>
      <c r="E177" t="s">
        <v>379</v>
      </c>
      <c r="F177" s="9">
        <v>0</v>
      </c>
      <c r="G177" t="s">
        <v>86</v>
      </c>
    </row>
    <row r="178" spans="1:7" ht="18" x14ac:dyDescent="0.35">
      <c r="A178" s="24" t="s">
        <v>264</v>
      </c>
      <c r="B178" s="24"/>
      <c r="C178" s="24"/>
      <c r="D178" s="24"/>
      <c r="E178" t="s">
        <v>380</v>
      </c>
      <c r="F178" s="9">
        <v>1412</v>
      </c>
      <c r="G178" t="s">
        <v>86</v>
      </c>
    </row>
    <row r="179" spans="1:7" ht="18" x14ac:dyDescent="0.35">
      <c r="A179" s="24" t="s">
        <v>265</v>
      </c>
      <c r="B179" s="24"/>
      <c r="C179" s="24"/>
      <c r="D179" s="24"/>
      <c r="E179" t="s">
        <v>381</v>
      </c>
      <c r="F179" s="9">
        <v>0</v>
      </c>
      <c r="G179" t="s">
        <v>86</v>
      </c>
    </row>
    <row r="180" spans="1:7" ht="18" x14ac:dyDescent="0.35">
      <c r="A180" s="24" t="s">
        <v>266</v>
      </c>
      <c r="B180" s="24"/>
      <c r="C180" s="24"/>
      <c r="D180" s="24"/>
      <c r="E180" t="s">
        <v>382</v>
      </c>
      <c r="F180" s="9">
        <v>1412</v>
      </c>
      <c r="G180" t="s">
        <v>86</v>
      </c>
    </row>
    <row r="181" spans="1:7" ht="18" x14ac:dyDescent="0.35">
      <c r="A181" s="24" t="s">
        <v>267</v>
      </c>
      <c r="B181" s="24"/>
      <c r="C181" s="24"/>
      <c r="D181" s="24"/>
      <c r="E181" t="s">
        <v>383</v>
      </c>
      <c r="F181" s="9">
        <v>0</v>
      </c>
      <c r="G181" t="s">
        <v>86</v>
      </c>
    </row>
    <row r="182" spans="1:7" ht="18" x14ac:dyDescent="0.35">
      <c r="A182" s="24" t="s">
        <v>268</v>
      </c>
      <c r="B182" s="24"/>
      <c r="C182" s="24"/>
      <c r="D182" s="24"/>
      <c r="E182" t="s">
        <v>384</v>
      </c>
      <c r="F182" s="9">
        <v>1412</v>
      </c>
      <c r="G182" t="s">
        <v>86</v>
      </c>
    </row>
    <row r="183" spans="1:7" ht="18" x14ac:dyDescent="0.35">
      <c r="A183" s="24" t="s">
        <v>269</v>
      </c>
      <c r="B183" s="24"/>
      <c r="C183" s="24"/>
      <c r="D183" s="24"/>
      <c r="E183" t="s">
        <v>385</v>
      </c>
      <c r="F183" s="9">
        <v>0</v>
      </c>
      <c r="G183" t="s">
        <v>86</v>
      </c>
    </row>
    <row r="184" spans="1:7" ht="18" x14ac:dyDescent="0.35">
      <c r="A184" s="24" t="s">
        <v>270</v>
      </c>
      <c r="B184" s="24"/>
      <c r="C184" s="24"/>
      <c r="D184" s="24"/>
      <c r="E184" t="s">
        <v>386</v>
      </c>
      <c r="F184" s="9">
        <v>1412</v>
      </c>
      <c r="G184" t="s">
        <v>86</v>
      </c>
    </row>
    <row r="185" spans="1:7" ht="18" x14ac:dyDescent="0.35">
      <c r="A185" s="24" t="s">
        <v>271</v>
      </c>
      <c r="B185" s="24"/>
      <c r="C185" s="24"/>
      <c r="D185" s="24"/>
      <c r="E185" t="s">
        <v>387</v>
      </c>
      <c r="F185" s="9">
        <v>0</v>
      </c>
      <c r="G185" t="s">
        <v>86</v>
      </c>
    </row>
    <row r="186" spans="1:7" ht="18" x14ac:dyDescent="0.35">
      <c r="A186" s="24" t="s">
        <v>272</v>
      </c>
      <c r="B186" s="24"/>
      <c r="C186" s="24"/>
      <c r="D186" s="24"/>
      <c r="E186" t="s">
        <v>388</v>
      </c>
      <c r="F186" s="9">
        <v>1412</v>
      </c>
      <c r="G186" t="s">
        <v>86</v>
      </c>
    </row>
    <row r="187" spans="1:7" ht="18" x14ac:dyDescent="0.35">
      <c r="A187" s="24" t="s">
        <v>273</v>
      </c>
      <c r="B187" s="24"/>
      <c r="C187" s="24"/>
      <c r="D187" s="24"/>
      <c r="E187" t="s">
        <v>389</v>
      </c>
      <c r="F187" s="9">
        <v>0</v>
      </c>
      <c r="G187" t="s">
        <v>86</v>
      </c>
    </row>
    <row r="188" spans="1:7" ht="18" x14ac:dyDescent="0.35">
      <c r="A188" s="24" t="s">
        <v>274</v>
      </c>
      <c r="B188" s="24"/>
      <c r="C188" s="24"/>
      <c r="D188" s="24"/>
      <c r="E188" t="s">
        <v>390</v>
      </c>
      <c r="F188" s="9">
        <v>1412</v>
      </c>
      <c r="G188" t="s">
        <v>86</v>
      </c>
    </row>
    <row r="189" spans="1:7" ht="18" x14ac:dyDescent="0.35">
      <c r="A189" s="24" t="s">
        <v>78</v>
      </c>
      <c r="B189" s="24"/>
      <c r="C189" s="24"/>
      <c r="D189" s="24"/>
      <c r="E189" t="s">
        <v>391</v>
      </c>
      <c r="F189" s="9">
        <v>0</v>
      </c>
      <c r="G189" t="s">
        <v>42</v>
      </c>
    </row>
    <row r="190" spans="1:7" ht="18" x14ac:dyDescent="0.35">
      <c r="A190" s="24" t="s">
        <v>79</v>
      </c>
      <c r="B190" s="24"/>
      <c r="C190" s="24"/>
      <c r="D190" s="24"/>
      <c r="E190" t="s">
        <v>392</v>
      </c>
      <c r="F190" s="9">
        <v>41</v>
      </c>
      <c r="G190" t="s">
        <v>42</v>
      </c>
    </row>
    <row r="191" spans="1:7" ht="25.5" customHeight="1" x14ac:dyDescent="0.35">
      <c r="A191" s="25" t="s">
        <v>82</v>
      </c>
      <c r="B191" s="25"/>
      <c r="C191" s="25"/>
      <c r="D191" s="25"/>
      <c r="E191" t="s">
        <v>393</v>
      </c>
      <c r="F191">
        <v>16.8</v>
      </c>
    </row>
    <row r="192" spans="1:7" ht="18" x14ac:dyDescent="0.35">
      <c r="A192" s="25" t="s">
        <v>83</v>
      </c>
      <c r="B192" s="25"/>
      <c r="C192" s="25"/>
      <c r="D192" s="25"/>
      <c r="E192" t="s">
        <v>394</v>
      </c>
      <c r="F192">
        <v>21.31</v>
      </c>
    </row>
    <row r="194" spans="1:7" x14ac:dyDescent="0.25">
      <c r="A194" s="19" t="s">
        <v>632</v>
      </c>
      <c r="B194" s="19"/>
      <c r="C194" s="19"/>
      <c r="D194" s="19"/>
      <c r="E194" s="19"/>
      <c r="F194" s="19"/>
      <c r="G194" s="19"/>
    </row>
    <row r="195" spans="1:7" ht="18" x14ac:dyDescent="0.35">
      <c r="A195" s="24" t="s">
        <v>58</v>
      </c>
      <c r="B195" s="24"/>
      <c r="C195" s="24"/>
      <c r="D195" s="24"/>
      <c r="E195" t="s">
        <v>395</v>
      </c>
      <c r="F195" s="9">
        <v>0</v>
      </c>
      <c r="G195" t="s">
        <v>86</v>
      </c>
    </row>
    <row r="196" spans="1:7" ht="18" x14ac:dyDescent="0.35">
      <c r="A196" s="24" t="s">
        <v>60</v>
      </c>
      <c r="B196" s="24"/>
      <c r="C196" s="24"/>
      <c r="D196" s="24"/>
      <c r="E196" t="s">
        <v>396</v>
      </c>
      <c r="F196" s="9">
        <v>608</v>
      </c>
      <c r="G196" t="s">
        <v>86</v>
      </c>
    </row>
    <row r="197" spans="1:7" ht="18" x14ac:dyDescent="0.35">
      <c r="A197" s="24" t="s">
        <v>59</v>
      </c>
      <c r="B197" s="24"/>
      <c r="C197" s="24"/>
      <c r="D197" s="24"/>
      <c r="E197" t="s">
        <v>397</v>
      </c>
      <c r="F197" s="9">
        <v>0</v>
      </c>
      <c r="G197" t="s">
        <v>86</v>
      </c>
    </row>
    <row r="198" spans="1:7" ht="18" x14ac:dyDescent="0.35">
      <c r="A198" s="24" t="s">
        <v>63</v>
      </c>
      <c r="B198" s="24"/>
      <c r="C198" s="24"/>
      <c r="D198" s="24"/>
      <c r="E198" t="s">
        <v>398</v>
      </c>
      <c r="F198" s="9">
        <v>2016</v>
      </c>
      <c r="G198" t="s">
        <v>86</v>
      </c>
    </row>
    <row r="199" spans="1:7" ht="18" x14ac:dyDescent="0.35">
      <c r="A199" s="24" t="s">
        <v>64</v>
      </c>
      <c r="B199" s="24"/>
      <c r="C199" s="24"/>
      <c r="D199" s="24"/>
      <c r="E199" t="s">
        <v>399</v>
      </c>
      <c r="F199" s="9">
        <v>0</v>
      </c>
      <c r="G199" t="s">
        <v>86</v>
      </c>
    </row>
    <row r="200" spans="1:7" ht="18" x14ac:dyDescent="0.35">
      <c r="A200" s="24" t="s">
        <v>65</v>
      </c>
      <c r="B200" s="24"/>
      <c r="C200" s="24"/>
      <c r="D200" s="24"/>
      <c r="E200" t="s">
        <v>400</v>
      </c>
      <c r="F200" s="9">
        <v>1260</v>
      </c>
      <c r="G200" t="s">
        <v>86</v>
      </c>
    </row>
    <row r="201" spans="1:7" ht="18" x14ac:dyDescent="0.35">
      <c r="A201" s="24" t="s">
        <v>66</v>
      </c>
      <c r="B201" s="24"/>
      <c r="C201" s="24"/>
      <c r="D201" s="24"/>
      <c r="E201" t="s">
        <v>401</v>
      </c>
      <c r="F201" s="9">
        <v>0</v>
      </c>
      <c r="G201" t="s">
        <v>86</v>
      </c>
    </row>
    <row r="202" spans="1:7" ht="18" x14ac:dyDescent="0.35">
      <c r="A202" s="24" t="s">
        <v>67</v>
      </c>
      <c r="B202" s="24"/>
      <c r="C202" s="24"/>
      <c r="D202" s="24"/>
      <c r="E202" t="s">
        <v>402</v>
      </c>
      <c r="F202" s="9">
        <v>1512</v>
      </c>
      <c r="G202" t="s">
        <v>86</v>
      </c>
    </row>
    <row r="203" spans="1:7" ht="18" x14ac:dyDescent="0.35">
      <c r="A203" s="24" t="s">
        <v>68</v>
      </c>
      <c r="B203" s="24"/>
      <c r="C203" s="24"/>
      <c r="D203" s="24"/>
      <c r="E203" t="s">
        <v>403</v>
      </c>
      <c r="F203" s="9">
        <v>0</v>
      </c>
      <c r="G203" t="s">
        <v>86</v>
      </c>
    </row>
    <row r="204" spans="1:7" ht="18" x14ac:dyDescent="0.35">
      <c r="A204" s="24" t="s">
        <v>69</v>
      </c>
      <c r="B204" s="24"/>
      <c r="C204" s="24"/>
      <c r="D204" s="24"/>
      <c r="E204" t="s">
        <v>404</v>
      </c>
      <c r="F204" s="9">
        <v>1412</v>
      </c>
      <c r="G204" t="s">
        <v>86</v>
      </c>
    </row>
    <row r="205" spans="1:7" ht="18" x14ac:dyDescent="0.35">
      <c r="A205" s="24" t="s">
        <v>263</v>
      </c>
      <c r="B205" s="24"/>
      <c r="C205" s="24"/>
      <c r="D205" s="24"/>
      <c r="E205" t="s">
        <v>405</v>
      </c>
      <c r="F205" s="9">
        <v>0</v>
      </c>
      <c r="G205" t="s">
        <v>86</v>
      </c>
    </row>
    <row r="206" spans="1:7" ht="18" x14ac:dyDescent="0.35">
      <c r="A206" s="24" t="s">
        <v>264</v>
      </c>
      <c r="B206" s="24"/>
      <c r="C206" s="24"/>
      <c r="D206" s="24"/>
      <c r="E206" t="s">
        <v>406</v>
      </c>
      <c r="F206" s="9">
        <v>1412</v>
      </c>
      <c r="G206" t="s">
        <v>86</v>
      </c>
    </row>
    <row r="207" spans="1:7" ht="18" x14ac:dyDescent="0.35">
      <c r="A207" s="24" t="s">
        <v>265</v>
      </c>
      <c r="B207" s="24"/>
      <c r="C207" s="24"/>
      <c r="D207" s="24"/>
      <c r="E207" t="s">
        <v>407</v>
      </c>
      <c r="F207" s="9">
        <v>0</v>
      </c>
      <c r="G207" t="s">
        <v>86</v>
      </c>
    </row>
    <row r="208" spans="1:7" ht="18" x14ac:dyDescent="0.35">
      <c r="A208" s="24" t="s">
        <v>266</v>
      </c>
      <c r="B208" s="24"/>
      <c r="C208" s="24"/>
      <c r="D208" s="24"/>
      <c r="E208" t="s">
        <v>408</v>
      </c>
      <c r="F208" s="9">
        <v>1412</v>
      </c>
      <c r="G208" t="s">
        <v>86</v>
      </c>
    </row>
    <row r="209" spans="1:7" ht="18" x14ac:dyDescent="0.35">
      <c r="A209" s="24" t="s">
        <v>267</v>
      </c>
      <c r="B209" s="24"/>
      <c r="C209" s="24"/>
      <c r="D209" s="24"/>
      <c r="E209" t="s">
        <v>409</v>
      </c>
      <c r="F209" s="9">
        <v>0</v>
      </c>
      <c r="G209" t="s">
        <v>86</v>
      </c>
    </row>
    <row r="210" spans="1:7" ht="18" x14ac:dyDescent="0.35">
      <c r="A210" s="24" t="s">
        <v>268</v>
      </c>
      <c r="B210" s="24"/>
      <c r="C210" s="24"/>
      <c r="D210" s="24"/>
      <c r="E210" t="s">
        <v>410</v>
      </c>
      <c r="F210" s="9">
        <v>1412</v>
      </c>
      <c r="G210" t="s">
        <v>86</v>
      </c>
    </row>
    <row r="211" spans="1:7" ht="18" x14ac:dyDescent="0.35">
      <c r="A211" s="24" t="s">
        <v>78</v>
      </c>
      <c r="B211" s="24"/>
      <c r="C211" s="24"/>
      <c r="D211" s="24"/>
      <c r="E211" t="s">
        <v>411</v>
      </c>
      <c r="F211" s="9">
        <v>0</v>
      </c>
      <c r="G211" t="s">
        <v>42</v>
      </c>
    </row>
    <row r="212" spans="1:7" ht="18" x14ac:dyDescent="0.35">
      <c r="A212" s="24" t="s">
        <v>79</v>
      </c>
      <c r="B212" s="24"/>
      <c r="C212" s="24"/>
      <c r="D212" s="24"/>
      <c r="E212" t="s">
        <v>412</v>
      </c>
      <c r="F212" s="9">
        <v>56</v>
      </c>
      <c r="G212" t="s">
        <v>42</v>
      </c>
    </row>
    <row r="213" spans="1:7" ht="33" customHeight="1" x14ac:dyDescent="0.35">
      <c r="A213" s="25" t="s">
        <v>82</v>
      </c>
      <c r="B213" s="25"/>
      <c r="C213" s="25"/>
      <c r="D213" s="25"/>
      <c r="E213" t="s">
        <v>413</v>
      </c>
      <c r="F213">
        <v>28.87</v>
      </c>
    </row>
    <row r="214" spans="1:7" ht="18" x14ac:dyDescent="0.35">
      <c r="A214" s="25" t="s">
        <v>83</v>
      </c>
      <c r="B214" s="25"/>
      <c r="C214" s="25"/>
      <c r="D214" s="25"/>
      <c r="E214" t="s">
        <v>414</v>
      </c>
      <c r="F214">
        <v>25.22</v>
      </c>
    </row>
    <row r="216" spans="1:7" x14ac:dyDescent="0.25">
      <c r="A216" s="19" t="s">
        <v>633</v>
      </c>
      <c r="B216" s="19"/>
      <c r="C216" s="19"/>
      <c r="D216" s="19"/>
      <c r="E216" s="19"/>
      <c r="F216" s="19"/>
      <c r="G216" s="19"/>
    </row>
    <row r="217" spans="1:7" ht="18" x14ac:dyDescent="0.35">
      <c r="A217" s="24" t="s">
        <v>58</v>
      </c>
      <c r="B217" s="24"/>
      <c r="C217" s="24"/>
      <c r="D217" s="24"/>
      <c r="E217" t="s">
        <v>415</v>
      </c>
      <c r="F217" s="9">
        <v>0</v>
      </c>
      <c r="G217" t="s">
        <v>86</v>
      </c>
    </row>
    <row r="218" spans="1:7" ht="18" x14ac:dyDescent="0.35">
      <c r="A218" s="24" t="s">
        <v>60</v>
      </c>
      <c r="B218" s="24"/>
      <c r="C218" s="24"/>
      <c r="D218" s="24"/>
      <c r="E218" t="s">
        <v>416</v>
      </c>
      <c r="F218" s="9">
        <v>608</v>
      </c>
      <c r="G218" t="s">
        <v>86</v>
      </c>
    </row>
    <row r="219" spans="1:7" ht="18" x14ac:dyDescent="0.35">
      <c r="A219" s="24" t="s">
        <v>59</v>
      </c>
      <c r="B219" s="24"/>
      <c r="C219" s="24"/>
      <c r="D219" s="24"/>
      <c r="E219" t="s">
        <v>417</v>
      </c>
      <c r="F219" s="9">
        <v>0</v>
      </c>
      <c r="G219" t="s">
        <v>86</v>
      </c>
    </row>
    <row r="220" spans="1:7" ht="18" x14ac:dyDescent="0.35">
      <c r="A220" s="24" t="s">
        <v>63</v>
      </c>
      <c r="B220" s="24"/>
      <c r="C220" s="24"/>
      <c r="D220" s="24"/>
      <c r="E220" t="s">
        <v>418</v>
      </c>
      <c r="F220" s="9">
        <v>2016</v>
      </c>
      <c r="G220" t="s">
        <v>86</v>
      </c>
    </row>
    <row r="221" spans="1:7" ht="18" x14ac:dyDescent="0.35">
      <c r="A221" s="24" t="s">
        <v>64</v>
      </c>
      <c r="B221" s="24"/>
      <c r="C221" s="24"/>
      <c r="D221" s="24"/>
      <c r="E221" t="s">
        <v>419</v>
      </c>
      <c r="F221" s="9">
        <v>0</v>
      </c>
      <c r="G221" t="s">
        <v>86</v>
      </c>
    </row>
    <row r="222" spans="1:7" ht="18" x14ac:dyDescent="0.35">
      <c r="A222" s="24" t="s">
        <v>65</v>
      </c>
      <c r="B222" s="24"/>
      <c r="C222" s="24"/>
      <c r="D222" s="24"/>
      <c r="E222" t="s">
        <v>420</v>
      </c>
      <c r="F222" s="9">
        <v>1260</v>
      </c>
      <c r="G222" t="s">
        <v>86</v>
      </c>
    </row>
    <row r="223" spans="1:7" ht="18" x14ac:dyDescent="0.35">
      <c r="A223" s="24" t="s">
        <v>66</v>
      </c>
      <c r="B223" s="24"/>
      <c r="C223" s="24"/>
      <c r="D223" s="24"/>
      <c r="E223" t="s">
        <v>421</v>
      </c>
      <c r="F223" s="9">
        <v>0</v>
      </c>
      <c r="G223" t="s">
        <v>86</v>
      </c>
    </row>
    <row r="224" spans="1:7" ht="18" x14ac:dyDescent="0.35">
      <c r="A224" s="24" t="s">
        <v>67</v>
      </c>
      <c r="B224" s="24"/>
      <c r="C224" s="24"/>
      <c r="D224" s="24"/>
      <c r="E224" t="s">
        <v>422</v>
      </c>
      <c r="F224" s="9">
        <v>1512</v>
      </c>
      <c r="G224" t="s">
        <v>86</v>
      </c>
    </row>
    <row r="225" spans="1:7" ht="18" x14ac:dyDescent="0.35">
      <c r="A225" s="24" t="s">
        <v>68</v>
      </c>
      <c r="B225" s="24"/>
      <c r="C225" s="24"/>
      <c r="D225" s="24"/>
      <c r="E225" t="s">
        <v>423</v>
      </c>
      <c r="F225" s="9">
        <v>0</v>
      </c>
      <c r="G225" t="s">
        <v>86</v>
      </c>
    </row>
    <row r="226" spans="1:7" ht="18" x14ac:dyDescent="0.35">
      <c r="A226" s="24" t="s">
        <v>69</v>
      </c>
      <c r="B226" s="24"/>
      <c r="C226" s="24"/>
      <c r="D226" s="24"/>
      <c r="E226" t="s">
        <v>424</v>
      </c>
      <c r="F226" s="9">
        <v>1412</v>
      </c>
      <c r="G226" t="s">
        <v>86</v>
      </c>
    </row>
    <row r="227" spans="1:7" ht="18" x14ac:dyDescent="0.35">
      <c r="A227" s="24" t="s">
        <v>263</v>
      </c>
      <c r="B227" s="24"/>
      <c r="C227" s="24"/>
      <c r="D227" s="24"/>
      <c r="E227" t="s">
        <v>425</v>
      </c>
      <c r="F227" s="9">
        <v>0</v>
      </c>
      <c r="G227" t="s">
        <v>86</v>
      </c>
    </row>
    <row r="228" spans="1:7" ht="18" x14ac:dyDescent="0.35">
      <c r="A228" s="24" t="s">
        <v>264</v>
      </c>
      <c r="B228" s="24"/>
      <c r="C228" s="24"/>
      <c r="D228" s="24"/>
      <c r="E228" t="s">
        <v>426</v>
      </c>
      <c r="F228" s="9">
        <v>1412</v>
      </c>
      <c r="G228" t="s">
        <v>86</v>
      </c>
    </row>
    <row r="229" spans="1:7" ht="18" x14ac:dyDescent="0.35">
      <c r="A229" s="24" t="s">
        <v>265</v>
      </c>
      <c r="B229" s="24"/>
      <c r="C229" s="24"/>
      <c r="D229" s="24"/>
      <c r="E229" t="s">
        <v>427</v>
      </c>
      <c r="F229" s="9">
        <v>0</v>
      </c>
      <c r="G229" t="s">
        <v>86</v>
      </c>
    </row>
    <row r="230" spans="1:7" ht="18" x14ac:dyDescent="0.35">
      <c r="A230" s="24" t="s">
        <v>266</v>
      </c>
      <c r="B230" s="24"/>
      <c r="C230" s="24"/>
      <c r="D230" s="24"/>
      <c r="E230" t="s">
        <v>428</v>
      </c>
      <c r="F230" s="9">
        <v>1412</v>
      </c>
      <c r="G230" t="s">
        <v>86</v>
      </c>
    </row>
    <row r="231" spans="1:7" ht="18" x14ac:dyDescent="0.35">
      <c r="A231" s="24" t="s">
        <v>267</v>
      </c>
      <c r="B231" s="24"/>
      <c r="C231" s="24"/>
      <c r="D231" s="24"/>
      <c r="E231" t="s">
        <v>429</v>
      </c>
      <c r="F231" s="9">
        <v>0</v>
      </c>
      <c r="G231" t="s">
        <v>86</v>
      </c>
    </row>
    <row r="232" spans="1:7" ht="18" x14ac:dyDescent="0.35">
      <c r="A232" s="24" t="s">
        <v>268</v>
      </c>
      <c r="B232" s="24"/>
      <c r="C232" s="24"/>
      <c r="D232" s="24"/>
      <c r="E232" t="s">
        <v>430</v>
      </c>
      <c r="F232" s="9">
        <v>1412</v>
      </c>
      <c r="G232" t="s">
        <v>86</v>
      </c>
    </row>
    <row r="233" spans="1:7" ht="18" x14ac:dyDescent="0.35">
      <c r="A233" s="24" t="s">
        <v>269</v>
      </c>
      <c r="B233" s="24"/>
      <c r="C233" s="24"/>
      <c r="D233" s="24"/>
      <c r="E233" t="s">
        <v>431</v>
      </c>
      <c r="F233" s="9">
        <v>0</v>
      </c>
      <c r="G233" t="s">
        <v>86</v>
      </c>
    </row>
    <row r="234" spans="1:7" ht="18" x14ac:dyDescent="0.35">
      <c r="A234" s="24" t="s">
        <v>270</v>
      </c>
      <c r="B234" s="24"/>
      <c r="C234" s="24"/>
      <c r="D234" s="24"/>
      <c r="E234" t="s">
        <v>432</v>
      </c>
      <c r="F234" s="9">
        <v>1412</v>
      </c>
      <c r="G234" t="s">
        <v>86</v>
      </c>
    </row>
    <row r="235" spans="1:7" ht="18" x14ac:dyDescent="0.35">
      <c r="A235" s="24" t="s">
        <v>78</v>
      </c>
      <c r="B235" s="24"/>
      <c r="C235" s="24"/>
      <c r="D235" s="24"/>
      <c r="E235" t="s">
        <v>433</v>
      </c>
      <c r="F235" s="9">
        <v>0</v>
      </c>
      <c r="G235" t="s">
        <v>42</v>
      </c>
    </row>
    <row r="236" spans="1:7" ht="18" x14ac:dyDescent="0.35">
      <c r="A236" s="24" t="s">
        <v>79</v>
      </c>
      <c r="B236" s="24"/>
      <c r="C236" s="24"/>
      <c r="D236" s="24"/>
      <c r="E236" t="s">
        <v>434</v>
      </c>
      <c r="F236" s="9">
        <v>13</v>
      </c>
      <c r="G236" t="s">
        <v>42</v>
      </c>
    </row>
    <row r="237" spans="1:7" ht="30" customHeight="1" x14ac:dyDescent="0.35">
      <c r="A237" s="25" t="s">
        <v>82</v>
      </c>
      <c r="B237" s="25"/>
      <c r="C237" s="25"/>
      <c r="D237" s="25"/>
      <c r="E237" t="s">
        <v>435</v>
      </c>
      <c r="F237">
        <v>20.38</v>
      </c>
    </row>
    <row r="238" spans="1:7" ht="18" x14ac:dyDescent="0.35">
      <c r="A238" s="25" t="s">
        <v>83</v>
      </c>
      <c r="B238" s="25"/>
      <c r="C238" s="25"/>
      <c r="D238" s="25"/>
      <c r="E238" t="s">
        <v>436</v>
      </c>
      <c r="F238">
        <v>25.6</v>
      </c>
    </row>
    <row r="241" spans="1:5" x14ac:dyDescent="0.25">
      <c r="A241" s="11"/>
      <c r="B241" s="23" t="s">
        <v>614</v>
      </c>
      <c r="C241" s="23"/>
      <c r="D241" s="23"/>
      <c r="E241" s="23"/>
    </row>
    <row r="242" spans="1:5" x14ac:dyDescent="0.25">
      <c r="A242" s="12"/>
      <c r="B242" s="23" t="s">
        <v>615</v>
      </c>
      <c r="C242" s="23"/>
      <c r="D242" s="23"/>
      <c r="E242" s="23"/>
    </row>
  </sheetData>
  <mergeCells count="231">
    <mergeCell ref="A28:D28"/>
    <mergeCell ref="A22:D22"/>
    <mergeCell ref="A23:D23"/>
    <mergeCell ref="A24:D24"/>
    <mergeCell ref="A6:D6"/>
    <mergeCell ref="A7:D7"/>
    <mergeCell ref="A8:D8"/>
    <mergeCell ref="A9:D9"/>
    <mergeCell ref="A10:D10"/>
    <mergeCell ref="A11:D11"/>
    <mergeCell ref="A12:D12"/>
    <mergeCell ref="A25:D25"/>
    <mergeCell ref="A26:D26"/>
    <mergeCell ref="A51:D51"/>
    <mergeCell ref="A52:D52"/>
    <mergeCell ref="A53:D53"/>
    <mergeCell ref="A54:D54"/>
    <mergeCell ref="A55:D55"/>
    <mergeCell ref="A1:G1"/>
    <mergeCell ref="A30:G30"/>
    <mergeCell ref="A31:D31"/>
    <mergeCell ref="A32:D32"/>
    <mergeCell ref="A2:G2"/>
    <mergeCell ref="A3:D3"/>
    <mergeCell ref="A4:D4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33:D33"/>
    <mergeCell ref="A27:D27"/>
    <mergeCell ref="A5:D5"/>
    <mergeCell ref="A50:G50"/>
    <mergeCell ref="A34:D34"/>
    <mergeCell ref="A35:D35"/>
    <mergeCell ref="A36:D36"/>
    <mergeCell ref="A37:D37"/>
    <mergeCell ref="A38:D38"/>
    <mergeCell ref="A39:D39"/>
    <mergeCell ref="A40:D40"/>
    <mergeCell ref="A45:D45"/>
    <mergeCell ref="A46:D46"/>
    <mergeCell ref="A47:D47"/>
    <mergeCell ref="A48:D48"/>
    <mergeCell ref="A44:D44"/>
    <mergeCell ref="A56:D56"/>
    <mergeCell ref="A57:D57"/>
    <mergeCell ref="A58:D58"/>
    <mergeCell ref="A59:D59"/>
    <mergeCell ref="A41:D41"/>
    <mergeCell ref="A42:D42"/>
    <mergeCell ref="A43:D43"/>
    <mergeCell ref="A82:D82"/>
    <mergeCell ref="A93:D93"/>
    <mergeCell ref="A81:D81"/>
    <mergeCell ref="A69:D69"/>
    <mergeCell ref="A70:D70"/>
    <mergeCell ref="A72:G72"/>
    <mergeCell ref="A73:D73"/>
    <mergeCell ref="A74:D74"/>
    <mergeCell ref="A75:D75"/>
    <mergeCell ref="A76:D76"/>
    <mergeCell ref="A77:D77"/>
    <mergeCell ref="A60:D60"/>
    <mergeCell ref="A67:D67"/>
    <mergeCell ref="A61:D61"/>
    <mergeCell ref="A62:D62"/>
    <mergeCell ref="A63:D63"/>
    <mergeCell ref="A64:D64"/>
    <mergeCell ref="A98:G98"/>
    <mergeCell ref="A99:D99"/>
    <mergeCell ref="A100:D100"/>
    <mergeCell ref="A101:D101"/>
    <mergeCell ref="A102:D102"/>
    <mergeCell ref="A66:D66"/>
    <mergeCell ref="A65:D65"/>
    <mergeCell ref="A83:D83"/>
    <mergeCell ref="A84:D84"/>
    <mergeCell ref="A85:D85"/>
    <mergeCell ref="A78:D78"/>
    <mergeCell ref="A79:D79"/>
    <mergeCell ref="A80:D80"/>
    <mergeCell ref="A68:D68"/>
    <mergeCell ref="A94:D94"/>
    <mergeCell ref="A95:D95"/>
    <mergeCell ref="A96:D96"/>
    <mergeCell ref="A86:D86"/>
    <mergeCell ref="A87:D87"/>
    <mergeCell ref="A88:D88"/>
    <mergeCell ref="A89:D89"/>
    <mergeCell ref="A90:D90"/>
    <mergeCell ref="A91:D91"/>
    <mergeCell ref="A92:D92"/>
    <mergeCell ref="A108:D108"/>
    <mergeCell ref="A109:D109"/>
    <mergeCell ref="A110:D110"/>
    <mergeCell ref="A111:D111"/>
    <mergeCell ref="A112:D112"/>
    <mergeCell ref="A103:D103"/>
    <mergeCell ref="A104:D104"/>
    <mergeCell ref="A105:D105"/>
    <mergeCell ref="A106:D106"/>
    <mergeCell ref="A107:D107"/>
    <mergeCell ref="A118:D118"/>
    <mergeCell ref="A119:D119"/>
    <mergeCell ref="A120:D120"/>
    <mergeCell ref="A122:G122"/>
    <mergeCell ref="A123:D123"/>
    <mergeCell ref="A113:D113"/>
    <mergeCell ref="A114:D114"/>
    <mergeCell ref="A115:D115"/>
    <mergeCell ref="A116:D116"/>
    <mergeCell ref="A117:D117"/>
    <mergeCell ref="A129:D129"/>
    <mergeCell ref="A130:D130"/>
    <mergeCell ref="A131:D131"/>
    <mergeCell ref="A132:D132"/>
    <mergeCell ref="A133:D133"/>
    <mergeCell ref="A124:D124"/>
    <mergeCell ref="A125:D125"/>
    <mergeCell ref="A126:D126"/>
    <mergeCell ref="A127:D127"/>
    <mergeCell ref="A128:D128"/>
    <mergeCell ref="A139:D139"/>
    <mergeCell ref="A140:D140"/>
    <mergeCell ref="A141:D141"/>
    <mergeCell ref="A142:D142"/>
    <mergeCell ref="A144:G144"/>
    <mergeCell ref="A134:D134"/>
    <mergeCell ref="A135:D135"/>
    <mergeCell ref="A136:D136"/>
    <mergeCell ref="A137:D137"/>
    <mergeCell ref="A138:D138"/>
    <mergeCell ref="A150:D150"/>
    <mergeCell ref="A151:D151"/>
    <mergeCell ref="A152:D152"/>
    <mergeCell ref="A153:D153"/>
    <mergeCell ref="A154:D154"/>
    <mergeCell ref="A145:D145"/>
    <mergeCell ref="A146:D146"/>
    <mergeCell ref="A147:D147"/>
    <mergeCell ref="A148:D148"/>
    <mergeCell ref="A149:D149"/>
    <mergeCell ref="A160:D160"/>
    <mergeCell ref="A161:D161"/>
    <mergeCell ref="A162:D162"/>
    <mergeCell ref="A163:D163"/>
    <mergeCell ref="A164:D164"/>
    <mergeCell ref="A155:D155"/>
    <mergeCell ref="A156:D156"/>
    <mergeCell ref="A157:D157"/>
    <mergeCell ref="A158:D158"/>
    <mergeCell ref="A159:D159"/>
    <mergeCell ref="A171:D171"/>
    <mergeCell ref="A172:D172"/>
    <mergeCell ref="A173:D173"/>
    <mergeCell ref="A174:D174"/>
    <mergeCell ref="A175:D175"/>
    <mergeCell ref="A166:G166"/>
    <mergeCell ref="A167:D167"/>
    <mergeCell ref="A168:D168"/>
    <mergeCell ref="A169:D169"/>
    <mergeCell ref="A170:D170"/>
    <mergeCell ref="A181:D181"/>
    <mergeCell ref="A182:D182"/>
    <mergeCell ref="A183:D183"/>
    <mergeCell ref="A184:D184"/>
    <mergeCell ref="A185:D185"/>
    <mergeCell ref="A176:D176"/>
    <mergeCell ref="A177:D177"/>
    <mergeCell ref="A178:D178"/>
    <mergeCell ref="A179:D179"/>
    <mergeCell ref="A180:D180"/>
    <mergeCell ref="A191:D191"/>
    <mergeCell ref="A192:D192"/>
    <mergeCell ref="A194:G194"/>
    <mergeCell ref="A195:D195"/>
    <mergeCell ref="A196:D196"/>
    <mergeCell ref="A186:D186"/>
    <mergeCell ref="A187:D187"/>
    <mergeCell ref="A188:D188"/>
    <mergeCell ref="A189:D189"/>
    <mergeCell ref="A190:D190"/>
    <mergeCell ref="A202:D202"/>
    <mergeCell ref="A203:D203"/>
    <mergeCell ref="A204:D204"/>
    <mergeCell ref="A205:D205"/>
    <mergeCell ref="A206:D206"/>
    <mergeCell ref="A197:D197"/>
    <mergeCell ref="A198:D198"/>
    <mergeCell ref="A199:D199"/>
    <mergeCell ref="A200:D200"/>
    <mergeCell ref="A201:D201"/>
    <mergeCell ref="A212:D212"/>
    <mergeCell ref="A213:D213"/>
    <mergeCell ref="A214:D214"/>
    <mergeCell ref="A216:G216"/>
    <mergeCell ref="A217:D217"/>
    <mergeCell ref="A207:D207"/>
    <mergeCell ref="A208:D208"/>
    <mergeCell ref="A209:D209"/>
    <mergeCell ref="A210:D210"/>
    <mergeCell ref="A211:D211"/>
    <mergeCell ref="A223:D223"/>
    <mergeCell ref="A224:D224"/>
    <mergeCell ref="A225:D225"/>
    <mergeCell ref="A226:D226"/>
    <mergeCell ref="A227:D227"/>
    <mergeCell ref="A218:D218"/>
    <mergeCell ref="A219:D219"/>
    <mergeCell ref="A220:D220"/>
    <mergeCell ref="A221:D221"/>
    <mergeCell ref="A222:D222"/>
    <mergeCell ref="B241:E241"/>
    <mergeCell ref="B242:E242"/>
    <mergeCell ref="A238:D238"/>
    <mergeCell ref="A233:D233"/>
    <mergeCell ref="A234:D234"/>
    <mergeCell ref="A235:D235"/>
    <mergeCell ref="A236:D236"/>
    <mergeCell ref="A237:D237"/>
    <mergeCell ref="A228:D228"/>
    <mergeCell ref="A229:D229"/>
    <mergeCell ref="A230:D230"/>
    <mergeCell ref="A231:D231"/>
    <mergeCell ref="A232:D23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"/>
  <sheetViews>
    <sheetView workbookViewId="0">
      <selection activeCell="I17" sqref="I17"/>
    </sheetView>
  </sheetViews>
  <sheetFormatPr defaultRowHeight="15" x14ac:dyDescent="0.25"/>
  <cols>
    <col min="4" max="4" width="42.28515625" customWidth="1"/>
    <col min="6" max="6" width="13.7109375" customWidth="1"/>
  </cols>
  <sheetData>
    <row r="2" spans="1:7" x14ac:dyDescent="0.25">
      <c r="A2" s="19" t="s">
        <v>47</v>
      </c>
      <c r="B2" s="19"/>
      <c r="C2" s="19"/>
      <c r="D2" s="19"/>
      <c r="E2" s="19"/>
      <c r="F2" s="19"/>
      <c r="G2" s="19"/>
    </row>
    <row r="3" spans="1:7" ht="18" x14ac:dyDescent="0.35">
      <c r="A3" s="24" t="s">
        <v>91</v>
      </c>
      <c r="B3" s="24"/>
      <c r="C3" s="24"/>
      <c r="D3" s="24"/>
      <c r="E3" t="s">
        <v>87</v>
      </c>
      <c r="F3" s="3">
        <f>'Vettori energetici'!J4</f>
        <v>0.86493856852834905</v>
      </c>
    </row>
    <row r="4" spans="1:7" ht="18" x14ac:dyDescent="0.35">
      <c r="A4" s="24" t="s">
        <v>88</v>
      </c>
      <c r="B4" s="24"/>
      <c r="C4" s="24"/>
      <c r="D4" s="24"/>
      <c r="E4" t="s">
        <v>89</v>
      </c>
      <c r="F4" s="3">
        <f>'Vettori energetici'!J5</f>
        <v>0.13506143147165087</v>
      </c>
    </row>
    <row r="5" spans="1:7" ht="18" x14ac:dyDescent="0.35">
      <c r="A5" s="24" t="s">
        <v>90</v>
      </c>
      <c r="B5" s="24"/>
      <c r="C5" s="24"/>
      <c r="D5" s="24"/>
      <c r="E5" t="s">
        <v>93</v>
      </c>
      <c r="F5" s="4">
        <f>('Vettori energetici'!F3-'Vettori energetici'!F2)*F3</f>
        <v>31245.040849518082</v>
      </c>
      <c r="G5" t="s">
        <v>42</v>
      </c>
    </row>
    <row r="6" spans="1:7" ht="18" x14ac:dyDescent="0.35">
      <c r="A6" s="24" t="s">
        <v>92</v>
      </c>
      <c r="B6" s="24"/>
      <c r="C6" s="24"/>
      <c r="D6" s="24"/>
      <c r="E6" t="s">
        <v>94</v>
      </c>
      <c r="F6" s="4">
        <f>('Vettori energetici'!F3-'Vettori energetici'!F2)*F4</f>
        <v>4878.9591504819164</v>
      </c>
      <c r="G6" t="s">
        <v>42</v>
      </c>
    </row>
    <row r="7" spans="1:7" x14ac:dyDescent="0.25">
      <c r="F7" s="4">
        <f>SUM(F5:F6)</f>
        <v>36124</v>
      </c>
    </row>
    <row r="8" spans="1:7" x14ac:dyDescent="0.25">
      <c r="A8" s="19" t="s">
        <v>44</v>
      </c>
      <c r="B8" s="19"/>
      <c r="C8" s="19"/>
      <c r="D8" s="19"/>
      <c r="E8" s="19"/>
      <c r="F8" s="19"/>
      <c r="G8" s="19"/>
    </row>
    <row r="9" spans="1:7" ht="18" x14ac:dyDescent="0.35">
      <c r="A9" s="24" t="s">
        <v>91</v>
      </c>
      <c r="B9" s="24"/>
      <c r="C9" s="24"/>
      <c r="D9" s="24"/>
      <c r="E9" t="s">
        <v>95</v>
      </c>
      <c r="F9" s="3">
        <f>'Vettori energetici'!J11</f>
        <v>0.57709170748184424</v>
      </c>
    </row>
    <row r="10" spans="1:7" ht="18" x14ac:dyDescent="0.35">
      <c r="A10" s="24" t="s">
        <v>88</v>
      </c>
      <c r="B10" s="24"/>
      <c r="C10" s="24"/>
      <c r="D10" s="24"/>
      <c r="E10" t="s">
        <v>96</v>
      </c>
      <c r="F10" s="3">
        <f>'Vettori energetici'!J12</f>
        <v>0.42290829251815576</v>
      </c>
    </row>
    <row r="11" spans="1:7" ht="18" x14ac:dyDescent="0.35">
      <c r="A11" s="24" t="s">
        <v>90</v>
      </c>
      <c r="B11" s="24"/>
      <c r="C11" s="24"/>
      <c r="D11" s="24"/>
      <c r="E11" t="s">
        <v>97</v>
      </c>
      <c r="F11" s="4">
        <f>('Vettori energetici'!F10-'Vettori energetici'!F9)*F9</f>
        <v>2741.6242002364465</v>
      </c>
      <c r="G11" t="s">
        <v>30</v>
      </c>
    </row>
    <row r="12" spans="1:7" ht="18" x14ac:dyDescent="0.35">
      <c r="A12" s="24" t="s">
        <v>92</v>
      </c>
      <c r="B12" s="24"/>
      <c r="C12" s="24"/>
      <c r="D12" s="24"/>
      <c r="E12" t="s">
        <v>98</v>
      </c>
      <c r="F12" s="4">
        <f>('Vettori energetici'!F10-'Vettori energetici'!F9)*F10</f>
        <v>2009.1357997635537</v>
      </c>
      <c r="G12" t="s">
        <v>30</v>
      </c>
    </row>
    <row r="13" spans="1:7" x14ac:dyDescent="0.25">
      <c r="F13" s="4">
        <f>F11+F12</f>
        <v>4750.76</v>
      </c>
    </row>
    <row r="14" spans="1:7" x14ac:dyDescent="0.25">
      <c r="A14" s="19" t="s">
        <v>104</v>
      </c>
      <c r="B14" s="19"/>
      <c r="C14" s="19"/>
      <c r="D14" s="19"/>
      <c r="E14" s="19"/>
      <c r="F14" s="19"/>
      <c r="G14" s="19"/>
    </row>
    <row r="15" spans="1:7" ht="18" x14ac:dyDescent="0.35">
      <c r="A15" s="24" t="s">
        <v>107</v>
      </c>
      <c r="B15" s="24"/>
      <c r="C15" s="24"/>
      <c r="D15" s="24"/>
      <c r="E15" t="s">
        <v>109</v>
      </c>
      <c r="F15" s="4">
        <f>IF('Dati generali'!I1="C",(Generatore!F4-Generatore!F3),IF('Dati generali'!I1="P",Generatore!F5,"ERRORE"))</f>
        <v>247646.465451</v>
      </c>
      <c r="G15" t="s">
        <v>30</v>
      </c>
    </row>
    <row r="16" spans="1:7" ht="18" x14ac:dyDescent="0.35">
      <c r="A16" s="24" t="s">
        <v>108</v>
      </c>
      <c r="B16" s="24"/>
      <c r="C16" s="24"/>
      <c r="D16" s="24"/>
      <c r="E16" t="s">
        <v>110</v>
      </c>
      <c r="F16" s="4">
        <f>IF('Dati generali'!I1="C", (Generatore!F10-Generatore!F9),IF('Dati generali'!I1="P",Generatore!F11,"ERRORE"))</f>
        <v>89287.501149000003</v>
      </c>
      <c r="G16" t="s">
        <v>30</v>
      </c>
    </row>
    <row r="17" spans="1:9" x14ac:dyDescent="0.25">
      <c r="I17" s="4"/>
    </row>
    <row r="18" spans="1:9" x14ac:dyDescent="0.25">
      <c r="A18" s="19" t="s">
        <v>111</v>
      </c>
      <c r="B18" s="19"/>
      <c r="C18" s="19"/>
      <c r="D18" s="19"/>
      <c r="E18" s="19"/>
      <c r="F18" s="19"/>
      <c r="G18" s="19"/>
    </row>
    <row r="19" spans="1:9" ht="33" customHeight="1" x14ac:dyDescent="0.35">
      <c r="A19" s="25" t="s">
        <v>112</v>
      </c>
      <c r="B19" s="25"/>
      <c r="C19" s="25"/>
      <c r="D19" s="25"/>
      <c r="E19" t="s">
        <v>114</v>
      </c>
      <c r="F19" s="4">
        <f>F15</f>
        <v>247646.465451</v>
      </c>
      <c r="G19" t="s">
        <v>30</v>
      </c>
    </row>
    <row r="20" spans="1:9" ht="24.75" customHeight="1" x14ac:dyDescent="0.35">
      <c r="A20" s="26" t="s">
        <v>113</v>
      </c>
      <c r="B20" s="26"/>
      <c r="C20" s="26"/>
      <c r="D20" s="26"/>
      <c r="E20" t="s">
        <v>115</v>
      </c>
      <c r="F20" s="4">
        <f>F16</f>
        <v>89287.501149000003</v>
      </c>
      <c r="G20" t="s">
        <v>30</v>
      </c>
    </row>
    <row r="21" spans="1:9" ht="33.75" customHeight="1" x14ac:dyDescent="0.35">
      <c r="A21" s="25" t="s">
        <v>111</v>
      </c>
      <c r="B21" s="25"/>
      <c r="C21" s="25"/>
      <c r="D21" s="25"/>
      <c r="E21" t="s">
        <v>116</v>
      </c>
      <c r="F21" s="4">
        <f>F19+F20</f>
        <v>336933.96659999999</v>
      </c>
      <c r="G21" t="s">
        <v>30</v>
      </c>
    </row>
    <row r="25" spans="1:9" x14ac:dyDescent="0.25">
      <c r="A25" s="11"/>
      <c r="B25" s="23" t="s">
        <v>614</v>
      </c>
      <c r="C25" s="23"/>
      <c r="D25" s="23"/>
      <c r="E25" s="23"/>
    </row>
    <row r="26" spans="1:9" x14ac:dyDescent="0.25">
      <c r="A26" s="12"/>
      <c r="B26" s="23" t="s">
        <v>615</v>
      </c>
      <c r="C26" s="23"/>
      <c r="D26" s="23"/>
      <c r="E26" s="23"/>
    </row>
  </sheetData>
  <mergeCells count="19">
    <mergeCell ref="A2:G2"/>
    <mergeCell ref="A3:D3"/>
    <mergeCell ref="A4:D4"/>
    <mergeCell ref="A5:D5"/>
    <mergeCell ref="A6:D6"/>
    <mergeCell ref="A14:G14"/>
    <mergeCell ref="A15:D15"/>
    <mergeCell ref="A16:D16"/>
    <mergeCell ref="A18:G18"/>
    <mergeCell ref="A8:G8"/>
    <mergeCell ref="A9:D9"/>
    <mergeCell ref="A10:D10"/>
    <mergeCell ref="A11:D11"/>
    <mergeCell ref="A12:D12"/>
    <mergeCell ref="B25:E25"/>
    <mergeCell ref="B26:E26"/>
    <mergeCell ref="A19:D19"/>
    <mergeCell ref="A20:D20"/>
    <mergeCell ref="A21:D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workbookViewId="0">
      <selection activeCell="F13" sqref="F13"/>
    </sheetView>
  </sheetViews>
  <sheetFormatPr defaultRowHeight="15" x14ac:dyDescent="0.25"/>
  <cols>
    <col min="4" max="4" width="39.7109375" customWidth="1"/>
    <col min="5" max="5" width="9.28515625" customWidth="1"/>
    <col min="6" max="6" width="12.7109375" customWidth="1"/>
  </cols>
  <sheetData>
    <row r="2" spans="1:7" x14ac:dyDescent="0.25">
      <c r="A2" s="19" t="s">
        <v>117</v>
      </c>
      <c r="B2" s="19"/>
      <c r="C2" s="19"/>
      <c r="D2" s="19"/>
      <c r="E2" s="19"/>
      <c r="F2" s="19"/>
      <c r="G2" s="19"/>
    </row>
    <row r="3" spans="1:7" ht="18" x14ac:dyDescent="0.35">
      <c r="A3" s="24" t="s">
        <v>118</v>
      </c>
      <c r="B3" s="24"/>
      <c r="C3" s="24"/>
      <c r="D3" s="24"/>
      <c r="E3" t="s">
        <v>133</v>
      </c>
      <c r="F3" s="3">
        <f>('Vettori energetici'!F6*'Consumi vet energ.'!F5)+('Vettori energetici'!F13*'Consumi vet energ.'!F11)</f>
        <v>29739.886021281203</v>
      </c>
      <c r="G3" t="s">
        <v>31</v>
      </c>
    </row>
    <row r="4" spans="1:7" ht="18" x14ac:dyDescent="0.35">
      <c r="A4" s="24" t="s">
        <v>119</v>
      </c>
      <c r="B4" s="24"/>
      <c r="C4" s="24"/>
      <c r="D4" s="24"/>
      <c r="E4" t="s">
        <v>134</v>
      </c>
      <c r="F4" s="3">
        <f>('Vettori energetici'!F6*'Consumi vet energ.'!F6)+('Vettori energetici'!F13*'Consumi vet energ.'!F12)</f>
        <v>5125.507874718799</v>
      </c>
      <c r="G4" t="s">
        <v>31</v>
      </c>
    </row>
    <row r="5" spans="1:7" ht="18" x14ac:dyDescent="0.35">
      <c r="A5" s="24" t="s">
        <v>91</v>
      </c>
      <c r="B5" s="24"/>
      <c r="C5" s="24"/>
      <c r="D5" s="24"/>
      <c r="E5" t="s">
        <v>105</v>
      </c>
      <c r="F5" s="3">
        <f>Generatore!N5</f>
        <v>0.73499999999999999</v>
      </c>
    </row>
    <row r="6" spans="1:7" ht="18" x14ac:dyDescent="0.35">
      <c r="A6" s="24" t="s">
        <v>88</v>
      </c>
      <c r="B6" s="24"/>
      <c r="C6" s="24"/>
      <c r="D6" s="24"/>
      <c r="E6" t="s">
        <v>106</v>
      </c>
      <c r="F6" s="3">
        <f>Generatore!N11</f>
        <v>0.26500000000000001</v>
      </c>
    </row>
    <row r="7" spans="1:7" ht="37.5" customHeight="1" x14ac:dyDescent="0.35">
      <c r="A7" s="25" t="s">
        <v>120</v>
      </c>
      <c r="B7" s="25"/>
      <c r="C7" s="25"/>
      <c r="D7" s="25"/>
      <c r="E7" t="s">
        <v>122</v>
      </c>
      <c r="F7" s="3">
        <f>'Dati generali'!I13*F5</f>
        <v>1390.62</v>
      </c>
      <c r="G7" t="s">
        <v>31</v>
      </c>
    </row>
    <row r="8" spans="1:7" ht="35.25" customHeight="1" x14ac:dyDescent="0.35">
      <c r="A8" s="25" t="s">
        <v>121</v>
      </c>
      <c r="B8" s="25"/>
      <c r="C8" s="25"/>
      <c r="D8" s="25"/>
      <c r="E8" t="s">
        <v>123</v>
      </c>
      <c r="F8" s="3">
        <f>'Dati generali'!I13*F6</f>
        <v>501.38000000000005</v>
      </c>
      <c r="G8" t="s">
        <v>31</v>
      </c>
    </row>
    <row r="9" spans="1:7" ht="27.75" customHeight="1" x14ac:dyDescent="0.35">
      <c r="A9" s="25" t="s">
        <v>124</v>
      </c>
      <c r="B9" s="25"/>
      <c r="C9" s="25"/>
      <c r="D9" s="25"/>
      <c r="E9" t="s">
        <v>126</v>
      </c>
      <c r="F9" s="3">
        <f>'Dati generali'!I14*F5</f>
        <v>1011.4776000000001</v>
      </c>
      <c r="G9" t="s">
        <v>31</v>
      </c>
    </row>
    <row r="10" spans="1:7" ht="31.5" customHeight="1" x14ac:dyDescent="0.35">
      <c r="A10" s="25" t="s">
        <v>125</v>
      </c>
      <c r="B10" s="25"/>
      <c r="C10" s="25"/>
      <c r="D10" s="25"/>
      <c r="E10" t="s">
        <v>127</v>
      </c>
      <c r="F10" s="3">
        <f>'Dati generali'!I14*F6</f>
        <v>364.68240000000003</v>
      </c>
      <c r="G10" t="s">
        <v>31</v>
      </c>
    </row>
    <row r="11" spans="1:7" ht="18" x14ac:dyDescent="0.35">
      <c r="A11" s="24" t="s">
        <v>128</v>
      </c>
      <c r="B11" s="24"/>
      <c r="C11" s="24"/>
      <c r="D11" s="24"/>
      <c r="E11" t="s">
        <v>130</v>
      </c>
      <c r="F11" s="3">
        <f>F3+F7+F9</f>
        <v>32141.983621281201</v>
      </c>
      <c r="G11" t="s">
        <v>31</v>
      </c>
    </row>
    <row r="12" spans="1:7" ht="18" x14ac:dyDescent="0.35">
      <c r="A12" s="24" t="s">
        <v>129</v>
      </c>
      <c r="B12" s="24"/>
      <c r="C12" s="24"/>
      <c r="D12" s="24"/>
      <c r="E12" t="s">
        <v>131</v>
      </c>
      <c r="F12" s="3">
        <f>F4+F8+F10</f>
        <v>5991.5702747187988</v>
      </c>
      <c r="G12" t="s">
        <v>31</v>
      </c>
    </row>
    <row r="13" spans="1:7" ht="18" x14ac:dyDescent="0.35">
      <c r="A13" s="24" t="s">
        <v>117</v>
      </c>
      <c r="B13" s="24"/>
      <c r="C13" s="24"/>
      <c r="D13" s="24"/>
      <c r="E13" t="s">
        <v>132</v>
      </c>
      <c r="F13" s="3">
        <f>F11+F12</f>
        <v>38133.553895999998</v>
      </c>
      <c r="G13" t="s">
        <v>31</v>
      </c>
    </row>
    <row r="15" spans="1:7" x14ac:dyDescent="0.25">
      <c r="A15" s="19" t="s">
        <v>135</v>
      </c>
      <c r="B15" s="19"/>
      <c r="C15" s="19"/>
      <c r="D15" s="19"/>
      <c r="E15" s="19"/>
      <c r="F15" s="19"/>
      <c r="G15" s="19"/>
    </row>
    <row r="16" spans="1:7" ht="18" x14ac:dyDescent="0.35">
      <c r="A16" s="24" t="s">
        <v>136</v>
      </c>
      <c r="B16" s="24"/>
      <c r="C16" s="24"/>
      <c r="D16" s="24"/>
      <c r="E16" t="s">
        <v>140</v>
      </c>
      <c r="F16" s="2">
        <f>F3/'Consumi vet energ.'!F19</f>
        <v>0.1200900887768399</v>
      </c>
      <c r="G16" t="s">
        <v>48</v>
      </c>
    </row>
    <row r="17" spans="1:7" ht="18" x14ac:dyDescent="0.35">
      <c r="A17" s="24" t="s">
        <v>137</v>
      </c>
      <c r="B17" s="24"/>
      <c r="C17" s="24"/>
      <c r="D17" s="24"/>
      <c r="E17" t="s">
        <v>141</v>
      </c>
      <c r="F17" s="2">
        <f>F4/'Consumi vet energ.'!F20</f>
        <v>5.7404539367335666E-2</v>
      </c>
      <c r="G17" t="s">
        <v>48</v>
      </c>
    </row>
    <row r="19" spans="1:7" x14ac:dyDescent="0.25">
      <c r="A19" s="19" t="s">
        <v>138</v>
      </c>
      <c r="B19" s="19"/>
      <c r="C19" s="19"/>
      <c r="D19" s="19"/>
      <c r="E19" s="19"/>
      <c r="F19" s="19"/>
      <c r="G19" s="19"/>
    </row>
    <row r="20" spans="1:7" ht="18" x14ac:dyDescent="0.35">
      <c r="A20" s="24" t="s">
        <v>139</v>
      </c>
      <c r="B20" s="24"/>
      <c r="C20" s="24"/>
      <c r="D20" s="24"/>
      <c r="E20" t="s">
        <v>142</v>
      </c>
      <c r="F20" s="4">
        <f>'Dati generali'!I15</f>
        <v>126203.13</v>
      </c>
      <c r="G20" t="s">
        <v>30</v>
      </c>
    </row>
    <row r="24" spans="1:7" x14ac:dyDescent="0.25">
      <c r="A24" s="11"/>
      <c r="B24" s="23" t="s">
        <v>614</v>
      </c>
      <c r="C24" s="23"/>
      <c r="D24" s="23"/>
      <c r="E24" s="23"/>
    </row>
    <row r="25" spans="1:7" x14ac:dyDescent="0.25">
      <c r="A25" s="12"/>
      <c r="B25" s="23" t="s">
        <v>615</v>
      </c>
      <c r="C25" s="23"/>
      <c r="D25" s="23"/>
      <c r="E25" s="23"/>
    </row>
  </sheetData>
  <mergeCells count="19">
    <mergeCell ref="A13:D13"/>
    <mergeCell ref="A2:G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B24:E24"/>
    <mergeCell ref="B25:E25"/>
    <mergeCell ref="A15:G15"/>
    <mergeCell ref="A16:D16"/>
    <mergeCell ref="A17:D17"/>
    <mergeCell ref="A19:G19"/>
    <mergeCell ref="A20:D2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topLeftCell="C25" workbookViewId="0">
      <selection activeCell="Q4" sqref="Q4:Q13"/>
    </sheetView>
  </sheetViews>
  <sheetFormatPr defaultRowHeight="15" x14ac:dyDescent="0.25"/>
  <cols>
    <col min="4" max="4" width="30.5703125" customWidth="1"/>
    <col min="11" max="11" width="19.5703125" customWidth="1"/>
    <col min="14" max="14" width="9.85546875" bestFit="1" customWidth="1"/>
  </cols>
  <sheetData>
    <row r="2" spans="1:17" x14ac:dyDescent="0.25">
      <c r="A2" s="19" t="s">
        <v>143</v>
      </c>
      <c r="B2" s="19"/>
      <c r="C2" s="19"/>
      <c r="D2" s="19"/>
      <c r="E2" s="19"/>
      <c r="F2" s="19"/>
      <c r="G2" s="19"/>
    </row>
    <row r="3" spans="1:17" x14ac:dyDescent="0.25">
      <c r="A3" s="19" t="s">
        <v>156</v>
      </c>
      <c r="B3" s="19"/>
      <c r="C3" s="19"/>
      <c r="D3" s="19"/>
      <c r="E3" s="19"/>
      <c r="F3" s="19"/>
      <c r="G3" s="19"/>
      <c r="L3" t="s">
        <v>680</v>
      </c>
      <c r="M3" t="s">
        <v>681</v>
      </c>
      <c r="N3" t="s">
        <v>738</v>
      </c>
      <c r="O3" t="s">
        <v>739</v>
      </c>
    </row>
    <row r="4" spans="1:17" ht="18" x14ac:dyDescent="0.35">
      <c r="A4" s="24" t="s">
        <v>144</v>
      </c>
      <c r="B4" s="24"/>
      <c r="C4" s="24"/>
      <c r="D4" s="24"/>
      <c r="E4" t="s">
        <v>145</v>
      </c>
      <c r="F4" s="4">
        <f>'Letture-mill. u.i.'!F4-'Letture-mill. u.i.'!F3</f>
        <v>608</v>
      </c>
      <c r="G4" t="s">
        <v>86</v>
      </c>
      <c r="J4" s="15">
        <v>1</v>
      </c>
      <c r="K4" s="16" t="s">
        <v>634</v>
      </c>
      <c r="L4" s="17">
        <v>5168</v>
      </c>
      <c r="M4">
        <v>36</v>
      </c>
      <c r="N4">
        <v>24.02</v>
      </c>
      <c r="O4">
        <v>25.78</v>
      </c>
      <c r="Q4" s="32"/>
    </row>
    <row r="5" spans="1:17" ht="18" x14ac:dyDescent="0.35">
      <c r="A5" s="24" t="s">
        <v>146</v>
      </c>
      <c r="B5" s="24"/>
      <c r="C5" s="24"/>
      <c r="D5" s="24"/>
      <c r="E5" t="s">
        <v>152</v>
      </c>
      <c r="F5" s="4">
        <f>'Letture-mill. u.i.'!F6-'Letture-mill. u.i.'!F5</f>
        <v>2016</v>
      </c>
      <c r="G5" t="s">
        <v>86</v>
      </c>
      <c r="J5" s="15">
        <v>2</v>
      </c>
      <c r="K5" s="16" t="s">
        <v>635</v>
      </c>
      <c r="L5" s="17">
        <v>9654</v>
      </c>
      <c r="M5">
        <v>23</v>
      </c>
      <c r="N5">
        <v>16.670000000000002</v>
      </c>
      <c r="O5">
        <v>21.4</v>
      </c>
      <c r="Q5" s="32"/>
    </row>
    <row r="6" spans="1:17" ht="18" x14ac:dyDescent="0.35">
      <c r="A6" s="24" t="s">
        <v>147</v>
      </c>
      <c r="B6" s="24"/>
      <c r="C6" s="24"/>
      <c r="D6" s="24"/>
      <c r="E6" t="s">
        <v>153</v>
      </c>
      <c r="F6" s="4">
        <f>'Letture-mill. u.i.'!F8-'Letture-mill. u.i.'!F7</f>
        <v>1260</v>
      </c>
      <c r="G6" t="s">
        <v>86</v>
      </c>
      <c r="J6" s="15">
        <v>3</v>
      </c>
      <c r="K6" s="16" t="s">
        <v>636</v>
      </c>
      <c r="L6" s="17">
        <v>3442</v>
      </c>
      <c r="M6">
        <v>30</v>
      </c>
      <c r="N6">
        <v>19.59</v>
      </c>
      <c r="O6">
        <v>21.32</v>
      </c>
      <c r="Q6" s="32"/>
    </row>
    <row r="7" spans="1:17" ht="18" x14ac:dyDescent="0.35">
      <c r="A7" s="24" t="s">
        <v>148</v>
      </c>
      <c r="B7" s="24"/>
      <c r="C7" s="24"/>
      <c r="D7" s="24"/>
      <c r="E7" t="s">
        <v>154</v>
      </c>
      <c r="F7" s="4">
        <f>'Letture-mill. u.i.'!F10-'Letture-mill. u.i.'!F9</f>
        <v>1512</v>
      </c>
      <c r="G7" t="s">
        <v>86</v>
      </c>
      <c r="J7" s="15">
        <v>4</v>
      </c>
      <c r="K7" s="16" t="s">
        <v>637</v>
      </c>
      <c r="L7" s="17">
        <v>4461</v>
      </c>
      <c r="M7">
        <v>57</v>
      </c>
      <c r="N7">
        <v>18.5</v>
      </c>
      <c r="O7">
        <v>21.37</v>
      </c>
      <c r="Q7" s="32"/>
    </row>
    <row r="8" spans="1:17" ht="18" x14ac:dyDescent="0.35">
      <c r="A8" s="24" t="s">
        <v>149</v>
      </c>
      <c r="B8" s="24"/>
      <c r="C8" s="24"/>
      <c r="D8" s="24"/>
      <c r="E8" t="s">
        <v>155</v>
      </c>
      <c r="F8" s="4">
        <f>'Letture-mill. u.i.'!F12-'Letture-mill. u.i.'!F11</f>
        <v>1412</v>
      </c>
      <c r="G8" t="s">
        <v>86</v>
      </c>
      <c r="J8" s="15">
        <v>5</v>
      </c>
      <c r="K8" s="16" t="s">
        <v>638</v>
      </c>
      <c r="L8" s="17">
        <v>6598</v>
      </c>
      <c r="M8">
        <v>49</v>
      </c>
      <c r="N8">
        <v>17.07</v>
      </c>
      <c r="O8">
        <v>21.4</v>
      </c>
      <c r="Q8" s="32"/>
    </row>
    <row r="9" spans="1:17" ht="18" x14ac:dyDescent="0.35">
      <c r="A9" s="24" t="s">
        <v>437</v>
      </c>
      <c r="B9" s="24"/>
      <c r="C9" s="24"/>
      <c r="D9" s="24"/>
      <c r="E9" t="s">
        <v>443</v>
      </c>
      <c r="F9" s="4">
        <f>'Letture-mill. u.i.'!F14-'Letture-mill. u.i.'!F13</f>
        <v>1412</v>
      </c>
      <c r="G9" t="s">
        <v>86</v>
      </c>
      <c r="J9" s="15">
        <v>6</v>
      </c>
      <c r="K9" s="16" t="s">
        <v>639</v>
      </c>
      <c r="L9" s="17">
        <v>5259</v>
      </c>
      <c r="M9">
        <v>49</v>
      </c>
      <c r="N9">
        <v>23.17</v>
      </c>
      <c r="O9">
        <v>25.87</v>
      </c>
      <c r="Q9" s="32"/>
    </row>
    <row r="10" spans="1:17" ht="18" x14ac:dyDescent="0.35">
      <c r="A10" s="24" t="s">
        <v>438</v>
      </c>
      <c r="B10" s="24"/>
      <c r="C10" s="24"/>
      <c r="D10" s="24"/>
      <c r="E10" t="s">
        <v>444</v>
      </c>
      <c r="F10" s="4">
        <f>'Letture-mill. u.i.'!F16-'Letture-mill. u.i.'!F15</f>
        <v>1412</v>
      </c>
      <c r="G10" t="s">
        <v>86</v>
      </c>
      <c r="J10" s="15">
        <v>7</v>
      </c>
      <c r="K10" s="16" t="s">
        <v>640</v>
      </c>
      <c r="L10" s="17">
        <v>1040</v>
      </c>
      <c r="M10">
        <v>0</v>
      </c>
      <c r="N10">
        <v>20.309999999999999</v>
      </c>
      <c r="O10">
        <v>2.06</v>
      </c>
      <c r="Q10" s="32"/>
    </row>
    <row r="11" spans="1:17" ht="18" x14ac:dyDescent="0.35">
      <c r="A11" s="24" t="s">
        <v>439</v>
      </c>
      <c r="B11" s="24"/>
      <c r="C11" s="24"/>
      <c r="D11" s="24"/>
      <c r="E11" t="s">
        <v>445</v>
      </c>
      <c r="F11" s="4">
        <f>'Letture-mill. u.i.'!F18-'Letture-mill. u.i.'!F17</f>
        <v>1412</v>
      </c>
      <c r="G11" t="s">
        <v>86</v>
      </c>
      <c r="J11" s="15">
        <v>8</v>
      </c>
      <c r="K11" s="16" t="s">
        <v>641</v>
      </c>
      <c r="L11" s="17">
        <v>3083</v>
      </c>
      <c r="M11">
        <v>41</v>
      </c>
      <c r="N11">
        <v>16.8</v>
      </c>
      <c r="O11">
        <v>21.31</v>
      </c>
      <c r="Q11" s="32"/>
    </row>
    <row r="12" spans="1:17" ht="18" x14ac:dyDescent="0.35">
      <c r="A12" s="24" t="s">
        <v>440</v>
      </c>
      <c r="B12" s="24"/>
      <c r="C12" s="24"/>
      <c r="D12" s="24"/>
      <c r="E12" t="s">
        <v>446</v>
      </c>
      <c r="F12" s="4">
        <f>'Letture-mill. u.i.'!F20-'Letture-mill. u.i.'!F19</f>
        <v>1412</v>
      </c>
      <c r="G12" t="s">
        <v>86</v>
      </c>
      <c r="J12" s="15">
        <v>9</v>
      </c>
      <c r="K12" s="16" t="s">
        <v>642</v>
      </c>
      <c r="L12" s="17">
        <v>6837</v>
      </c>
      <c r="M12">
        <v>56</v>
      </c>
      <c r="N12">
        <v>28.87</v>
      </c>
      <c r="O12">
        <v>25.22</v>
      </c>
      <c r="Q12" s="32"/>
    </row>
    <row r="13" spans="1:17" ht="18" x14ac:dyDescent="0.35">
      <c r="A13" s="24" t="s">
        <v>441</v>
      </c>
      <c r="B13" s="24"/>
      <c r="C13" s="24"/>
      <c r="D13" s="24"/>
      <c r="E13" t="s">
        <v>447</v>
      </c>
      <c r="F13" s="4">
        <f>'Letture-mill. u.i.'!F22-'Letture-mill. u.i.'!F21</f>
        <v>1412</v>
      </c>
      <c r="G13" t="s">
        <v>86</v>
      </c>
      <c r="J13" s="15">
        <v>10</v>
      </c>
      <c r="K13" s="16" t="s">
        <v>643</v>
      </c>
      <c r="L13" s="17">
        <v>11634</v>
      </c>
      <c r="M13">
        <v>13</v>
      </c>
      <c r="N13">
        <v>20.38</v>
      </c>
      <c r="O13">
        <v>25.6</v>
      </c>
      <c r="Q13" s="32"/>
    </row>
    <row r="14" spans="1:17" ht="18" x14ac:dyDescent="0.35">
      <c r="A14" s="24" t="s">
        <v>442</v>
      </c>
      <c r="B14" s="24"/>
      <c r="C14" s="24"/>
      <c r="D14" s="24"/>
      <c r="E14" t="s">
        <v>448</v>
      </c>
      <c r="F14" s="4">
        <f>'Letture-mill. u.i.'!F24-'Letture-mill. u.i.'!F23</f>
        <v>1412</v>
      </c>
      <c r="G14" t="s">
        <v>86</v>
      </c>
      <c r="J14" s="15">
        <v>11</v>
      </c>
      <c r="K14" s="16" t="s">
        <v>644</v>
      </c>
      <c r="L14" s="17">
        <v>26931</v>
      </c>
      <c r="M14">
        <v>74</v>
      </c>
      <c r="N14">
        <v>16.96</v>
      </c>
      <c r="O14">
        <v>21.34</v>
      </c>
    </row>
    <row r="15" spans="1:17" ht="18" x14ac:dyDescent="0.35">
      <c r="A15" s="24" t="s">
        <v>150</v>
      </c>
      <c r="B15" s="24"/>
      <c r="C15" s="24"/>
      <c r="D15" s="24"/>
      <c r="E15" t="s">
        <v>151</v>
      </c>
      <c r="F15" s="4">
        <f>SUM(F4:F14)</f>
        <v>15280</v>
      </c>
      <c r="J15" s="15">
        <v>12</v>
      </c>
      <c r="K15" s="16" t="s">
        <v>645</v>
      </c>
      <c r="L15" s="17">
        <v>3068</v>
      </c>
      <c r="M15">
        <v>27</v>
      </c>
      <c r="N15">
        <v>18.86</v>
      </c>
      <c r="O15">
        <v>25.83</v>
      </c>
    </row>
    <row r="16" spans="1:17" x14ac:dyDescent="0.25">
      <c r="J16" s="15">
        <v>13</v>
      </c>
      <c r="K16" s="16" t="s">
        <v>646</v>
      </c>
      <c r="L16" s="17">
        <v>2162</v>
      </c>
      <c r="M16">
        <v>3</v>
      </c>
      <c r="N16">
        <v>22.27</v>
      </c>
      <c r="O16">
        <v>21.31</v>
      </c>
    </row>
    <row r="17" spans="1:15" x14ac:dyDescent="0.25">
      <c r="A17" s="19" t="s">
        <v>157</v>
      </c>
      <c r="B17" s="19"/>
      <c r="C17" s="19"/>
      <c r="D17" s="19"/>
      <c r="E17" s="19"/>
      <c r="F17" s="19"/>
      <c r="G17" s="19"/>
      <c r="J17" s="15">
        <v>14</v>
      </c>
      <c r="K17" s="16" t="s">
        <v>647</v>
      </c>
      <c r="L17" s="17">
        <v>17042</v>
      </c>
      <c r="M17">
        <v>96</v>
      </c>
      <c r="N17">
        <v>20.97</v>
      </c>
      <c r="O17">
        <v>25.57</v>
      </c>
    </row>
    <row r="18" spans="1:15" ht="18" x14ac:dyDescent="0.35">
      <c r="A18" s="24" t="s">
        <v>144</v>
      </c>
      <c r="B18" s="24"/>
      <c r="C18" s="24"/>
      <c r="D18" s="24"/>
      <c r="E18" t="s">
        <v>160</v>
      </c>
      <c r="F18" s="4">
        <f>'Letture-mill. u.i.'!F32-'Letture-mill. u.i.'!F31</f>
        <v>362</v>
      </c>
      <c r="G18" t="s">
        <v>86</v>
      </c>
      <c r="J18" s="15">
        <v>15</v>
      </c>
      <c r="K18" s="16" t="s">
        <v>648</v>
      </c>
      <c r="L18" s="17">
        <v>6932</v>
      </c>
      <c r="M18">
        <v>48</v>
      </c>
      <c r="N18">
        <v>21.4</v>
      </c>
      <c r="O18">
        <v>21.39</v>
      </c>
    </row>
    <row r="19" spans="1:15" ht="18" x14ac:dyDescent="0.35">
      <c r="A19" s="24" t="s">
        <v>146</v>
      </c>
      <c r="B19" s="24"/>
      <c r="C19" s="24"/>
      <c r="D19" s="24"/>
      <c r="E19" t="s">
        <v>161</v>
      </c>
      <c r="F19" s="4">
        <f>'Letture-mill. u.i.'!F34-'Letture-mill. u.i.'!F33</f>
        <v>486</v>
      </c>
      <c r="G19" t="s">
        <v>86</v>
      </c>
      <c r="J19" s="15">
        <v>16</v>
      </c>
      <c r="K19" s="16" t="s">
        <v>649</v>
      </c>
      <c r="L19" s="17">
        <v>12014</v>
      </c>
      <c r="M19">
        <v>68</v>
      </c>
      <c r="N19">
        <v>18.46</v>
      </c>
      <c r="O19">
        <v>21.56</v>
      </c>
    </row>
    <row r="20" spans="1:15" ht="18" x14ac:dyDescent="0.35">
      <c r="A20" s="24" t="s">
        <v>147</v>
      </c>
      <c r="B20" s="24"/>
      <c r="C20" s="24"/>
      <c r="D20" s="24"/>
      <c r="E20" t="s">
        <v>162</v>
      </c>
      <c r="F20" s="4">
        <f>'Letture-mill. u.i.'!F36-'Letture-mill. u.i.'!F35</f>
        <v>313</v>
      </c>
      <c r="G20" t="s">
        <v>86</v>
      </c>
      <c r="J20" s="15">
        <v>17</v>
      </c>
      <c r="K20" s="16" t="s">
        <v>650</v>
      </c>
      <c r="L20" s="17">
        <v>1059</v>
      </c>
      <c r="M20">
        <v>0</v>
      </c>
      <c r="N20">
        <v>20.91</v>
      </c>
      <c r="O20" s="39">
        <v>25.25</v>
      </c>
    </row>
    <row r="21" spans="1:15" ht="18" x14ac:dyDescent="0.35">
      <c r="A21" s="24" t="s">
        <v>148</v>
      </c>
      <c r="B21" s="24"/>
      <c r="C21" s="24"/>
      <c r="D21" s="24"/>
      <c r="E21" t="s">
        <v>163</v>
      </c>
      <c r="F21" s="4">
        <f>'Letture-mill. u.i.'!F38-'Letture-mill. u.i.'!F37</f>
        <v>233</v>
      </c>
      <c r="G21" t="s">
        <v>86</v>
      </c>
      <c r="J21" s="15">
        <v>18</v>
      </c>
      <c r="K21" s="16" t="s">
        <v>651</v>
      </c>
      <c r="L21" s="17">
        <v>3089</v>
      </c>
      <c r="M21">
        <v>10</v>
      </c>
      <c r="N21">
        <v>21.21</v>
      </c>
      <c r="O21" s="33">
        <v>21.39</v>
      </c>
    </row>
    <row r="22" spans="1:15" ht="18" x14ac:dyDescent="0.35">
      <c r="A22" s="24" t="s">
        <v>149</v>
      </c>
      <c r="B22" s="24"/>
      <c r="C22" s="24"/>
      <c r="D22" s="24"/>
      <c r="E22" t="s">
        <v>164</v>
      </c>
      <c r="F22" s="4">
        <f>'Letture-mill. u.i.'!F40-'Letture-mill. u.i.'!F39</f>
        <v>363</v>
      </c>
      <c r="G22" t="s">
        <v>86</v>
      </c>
      <c r="J22" s="15">
        <v>19</v>
      </c>
      <c r="K22" s="16" t="s">
        <v>652</v>
      </c>
      <c r="L22" s="17">
        <v>7932</v>
      </c>
      <c r="M22">
        <v>53</v>
      </c>
      <c r="N22">
        <v>22.71</v>
      </c>
      <c r="O22" s="39">
        <v>25.26</v>
      </c>
    </row>
    <row r="23" spans="1:15" ht="18" x14ac:dyDescent="0.35">
      <c r="A23" s="24" t="s">
        <v>437</v>
      </c>
      <c r="B23" s="24"/>
      <c r="C23" s="24"/>
      <c r="D23" s="24"/>
      <c r="E23" t="s">
        <v>449</v>
      </c>
      <c r="F23" s="4">
        <f>'Letture-mill. u.i.'!F42-'Letture-mill. u.i.'!F41</f>
        <v>147</v>
      </c>
      <c r="G23" t="s">
        <v>86</v>
      </c>
      <c r="J23" s="15">
        <v>20</v>
      </c>
      <c r="K23" s="16" t="s">
        <v>653</v>
      </c>
      <c r="L23" s="17">
        <v>5222</v>
      </c>
      <c r="M23">
        <v>0</v>
      </c>
      <c r="N23">
        <v>21.2</v>
      </c>
      <c r="O23" s="39">
        <v>2.04</v>
      </c>
    </row>
    <row r="24" spans="1:15" ht="18" x14ac:dyDescent="0.35">
      <c r="A24" s="24" t="s">
        <v>438</v>
      </c>
      <c r="B24" s="24"/>
      <c r="C24" s="24"/>
      <c r="D24" s="24"/>
      <c r="E24" t="s">
        <v>450</v>
      </c>
      <c r="F24" s="4">
        <f>'Letture-mill. u.i.'!F44-'Letture-mill. u.i.'!F43</f>
        <v>637</v>
      </c>
      <c r="G24" t="s">
        <v>86</v>
      </c>
      <c r="J24" s="15">
        <v>21</v>
      </c>
      <c r="K24" s="16" t="s">
        <v>654</v>
      </c>
      <c r="L24" s="17">
        <v>2989</v>
      </c>
      <c r="M24">
        <v>1</v>
      </c>
      <c r="N24">
        <v>17.260000000000002</v>
      </c>
      <c r="O24" s="33">
        <v>21.36</v>
      </c>
    </row>
    <row r="25" spans="1:15" ht="18" x14ac:dyDescent="0.35">
      <c r="A25" s="24" t="s">
        <v>150</v>
      </c>
      <c r="B25" s="24"/>
      <c r="C25" s="24"/>
      <c r="D25" s="24"/>
      <c r="E25" t="s">
        <v>165</v>
      </c>
      <c r="F25" s="4">
        <f>SUM(F18:F24)</f>
        <v>2541</v>
      </c>
      <c r="J25" s="15">
        <v>22</v>
      </c>
      <c r="K25" s="16" t="s">
        <v>655</v>
      </c>
      <c r="L25" s="17">
        <v>2259</v>
      </c>
      <c r="M25">
        <v>2</v>
      </c>
      <c r="N25">
        <v>18.850000000000001</v>
      </c>
      <c r="O25" s="33">
        <v>21.56</v>
      </c>
    </row>
    <row r="26" spans="1:15" x14ac:dyDescent="0.25">
      <c r="J26" s="15">
        <v>23</v>
      </c>
      <c r="K26" s="16" t="s">
        <v>656</v>
      </c>
      <c r="L26" s="17">
        <v>9335</v>
      </c>
      <c r="M26">
        <v>96</v>
      </c>
      <c r="N26">
        <v>19.04</v>
      </c>
      <c r="O26" s="33">
        <v>25.7</v>
      </c>
    </row>
    <row r="27" spans="1:15" x14ac:dyDescent="0.25">
      <c r="A27" s="19" t="s">
        <v>158</v>
      </c>
      <c r="B27" s="19"/>
      <c r="C27" s="19"/>
      <c r="D27" s="19"/>
      <c r="E27" s="19"/>
      <c r="F27" s="19"/>
      <c r="G27" s="19"/>
      <c r="J27" s="15">
        <v>24</v>
      </c>
      <c r="K27" s="16" t="s">
        <v>657</v>
      </c>
      <c r="L27" s="17">
        <v>5635</v>
      </c>
      <c r="M27">
        <v>11</v>
      </c>
      <c r="N27">
        <v>18.04</v>
      </c>
      <c r="O27" s="39">
        <v>21.72</v>
      </c>
    </row>
    <row r="28" spans="1:15" ht="18" x14ac:dyDescent="0.35">
      <c r="A28" s="24" t="s">
        <v>144</v>
      </c>
      <c r="B28" s="24"/>
      <c r="C28" s="24"/>
      <c r="D28" s="24"/>
      <c r="E28" t="s">
        <v>166</v>
      </c>
      <c r="F28" s="4">
        <f>'Letture-mill. u.i.'!F52-'Letture-mill. u.i.'!F51</f>
        <v>837</v>
      </c>
      <c r="G28" t="s">
        <v>86</v>
      </c>
      <c r="J28" s="15">
        <v>25</v>
      </c>
      <c r="K28" s="16" t="s">
        <v>658</v>
      </c>
      <c r="L28" s="17">
        <v>19805</v>
      </c>
      <c r="M28">
        <v>60</v>
      </c>
      <c r="N28">
        <v>18.96</v>
      </c>
      <c r="O28" s="33">
        <v>21.45</v>
      </c>
    </row>
    <row r="29" spans="1:15" ht="18" x14ac:dyDescent="0.35">
      <c r="A29" s="24" t="s">
        <v>146</v>
      </c>
      <c r="B29" s="24"/>
      <c r="C29" s="24"/>
      <c r="D29" s="24"/>
      <c r="E29" t="s">
        <v>167</v>
      </c>
      <c r="F29" s="4">
        <f>'Letture-mill. u.i.'!F54-'Letture-mill. u.i.'!F53</f>
        <v>937</v>
      </c>
      <c r="G29" t="s">
        <v>86</v>
      </c>
      <c r="J29" s="15">
        <v>26</v>
      </c>
      <c r="K29" s="16" t="s">
        <v>659</v>
      </c>
      <c r="L29" s="17">
        <v>8157</v>
      </c>
      <c r="M29">
        <v>19</v>
      </c>
      <c r="N29">
        <v>19.43</v>
      </c>
      <c r="O29" s="33">
        <v>25.32</v>
      </c>
    </row>
    <row r="30" spans="1:15" ht="18" x14ac:dyDescent="0.35">
      <c r="A30" s="24" t="s">
        <v>147</v>
      </c>
      <c r="B30" s="24"/>
      <c r="C30" s="24"/>
      <c r="D30" s="24"/>
      <c r="E30" t="s">
        <v>168</v>
      </c>
      <c r="F30" s="4">
        <f>'Letture-mill. u.i.'!F56-'Letture-mill. u.i.'!F55</f>
        <v>357</v>
      </c>
      <c r="G30" t="s">
        <v>86</v>
      </c>
      <c r="J30" s="15">
        <v>27</v>
      </c>
      <c r="K30" s="16" t="s">
        <v>660</v>
      </c>
      <c r="L30" s="17">
        <v>8254</v>
      </c>
      <c r="M30">
        <v>9</v>
      </c>
      <c r="N30">
        <v>19.97</v>
      </c>
      <c r="O30" s="39">
        <v>21.56</v>
      </c>
    </row>
    <row r="31" spans="1:15" ht="18" x14ac:dyDescent="0.35">
      <c r="A31" s="24" t="s">
        <v>148</v>
      </c>
      <c r="B31" s="24"/>
      <c r="C31" s="24"/>
      <c r="D31" s="24"/>
      <c r="E31" t="s">
        <v>169</v>
      </c>
      <c r="F31" s="4">
        <f>'Letture-mill. u.i.'!F58-'Letture-mill. u.i.'!F57</f>
        <v>332</v>
      </c>
      <c r="G31" t="s">
        <v>86</v>
      </c>
      <c r="J31" s="15">
        <v>28</v>
      </c>
      <c r="K31" s="16" t="s">
        <v>661</v>
      </c>
      <c r="L31" s="17">
        <v>6926</v>
      </c>
      <c r="M31">
        <v>80</v>
      </c>
      <c r="N31">
        <v>16.62</v>
      </c>
      <c r="O31" s="33">
        <v>21.45</v>
      </c>
    </row>
    <row r="32" spans="1:15" ht="18" x14ac:dyDescent="0.35">
      <c r="A32" s="24" t="s">
        <v>149</v>
      </c>
      <c r="B32" s="24"/>
      <c r="C32" s="24"/>
      <c r="D32" s="24"/>
      <c r="E32" t="s">
        <v>170</v>
      </c>
      <c r="F32" s="4">
        <f>'Letture-mill. u.i.'!F60-'Letture-mill. u.i.'!F59</f>
        <v>301</v>
      </c>
      <c r="G32" t="s">
        <v>86</v>
      </c>
      <c r="J32" s="15">
        <v>29</v>
      </c>
      <c r="K32" s="16" t="s">
        <v>662</v>
      </c>
      <c r="L32" s="17">
        <v>19007</v>
      </c>
      <c r="M32">
        <v>15</v>
      </c>
      <c r="N32">
        <v>23.22</v>
      </c>
      <c r="O32">
        <v>25.83</v>
      </c>
    </row>
    <row r="33" spans="1:15" ht="18" x14ac:dyDescent="0.35">
      <c r="A33" s="24" t="s">
        <v>437</v>
      </c>
      <c r="B33" s="24"/>
      <c r="C33" s="24"/>
      <c r="D33" s="24"/>
      <c r="E33" t="s">
        <v>451</v>
      </c>
      <c r="F33" s="4">
        <f>'Letture-mill. u.i.'!F62-'Letture-mill. u.i.'!F61</f>
        <v>58</v>
      </c>
      <c r="G33" t="s">
        <v>86</v>
      </c>
      <c r="J33" s="15">
        <v>30</v>
      </c>
      <c r="K33" s="16" t="s">
        <v>663</v>
      </c>
      <c r="L33" s="17">
        <v>4502</v>
      </c>
      <c r="M33">
        <v>6</v>
      </c>
      <c r="N33">
        <v>28.53</v>
      </c>
      <c r="O33" s="33">
        <v>23.43</v>
      </c>
    </row>
    <row r="34" spans="1:15" ht="18" x14ac:dyDescent="0.35">
      <c r="A34" s="24" t="s">
        <v>438</v>
      </c>
      <c r="B34" s="24"/>
      <c r="C34" s="24"/>
      <c r="D34" s="24"/>
      <c r="E34" t="s">
        <v>452</v>
      </c>
      <c r="F34" s="4">
        <f>'Letture-mill. u.i.'!F64-'Letture-mill. u.i.'!F63</f>
        <v>261</v>
      </c>
      <c r="G34" t="s">
        <v>86</v>
      </c>
      <c r="J34" s="15">
        <v>31</v>
      </c>
      <c r="K34" s="16" t="s">
        <v>664</v>
      </c>
      <c r="L34" s="17">
        <v>16808</v>
      </c>
      <c r="M34">
        <v>102</v>
      </c>
      <c r="N34">
        <v>23.86</v>
      </c>
      <c r="O34">
        <v>22.09</v>
      </c>
    </row>
    <row r="35" spans="1:15" ht="18" x14ac:dyDescent="0.35">
      <c r="A35" s="24" t="s">
        <v>439</v>
      </c>
      <c r="B35" s="24"/>
      <c r="C35" s="24"/>
      <c r="D35" s="24"/>
      <c r="E35" t="s">
        <v>453</v>
      </c>
      <c r="F35" s="4">
        <f>'Letture-mill. u.i.'!F66-'Letture-mill. u.i.'!F65</f>
        <v>254</v>
      </c>
      <c r="G35" t="s">
        <v>86</v>
      </c>
      <c r="J35" s="15">
        <v>32</v>
      </c>
      <c r="K35" s="16" t="s">
        <v>665</v>
      </c>
      <c r="L35" s="17">
        <v>2665</v>
      </c>
      <c r="M35">
        <v>0</v>
      </c>
      <c r="N35">
        <v>23.15</v>
      </c>
      <c r="O35">
        <v>20.68</v>
      </c>
    </row>
    <row r="36" spans="1:15" ht="18" x14ac:dyDescent="0.35">
      <c r="A36" s="24" t="s">
        <v>150</v>
      </c>
      <c r="B36" s="24"/>
      <c r="C36" s="24"/>
      <c r="D36" s="24"/>
      <c r="E36" t="s">
        <v>171</v>
      </c>
      <c r="F36" s="4">
        <f>SUM(F28:F35)</f>
        <v>3337</v>
      </c>
      <c r="J36" s="15">
        <v>33</v>
      </c>
      <c r="K36" s="16" t="s">
        <v>666</v>
      </c>
      <c r="L36" s="17">
        <v>15116</v>
      </c>
      <c r="M36">
        <v>112</v>
      </c>
      <c r="N36">
        <v>29.88</v>
      </c>
      <c r="O36">
        <v>25.16</v>
      </c>
    </row>
    <row r="37" spans="1:15" x14ac:dyDescent="0.25">
      <c r="J37" s="15">
        <v>34</v>
      </c>
      <c r="K37" s="16" t="s">
        <v>667</v>
      </c>
      <c r="L37" s="17">
        <v>12749</v>
      </c>
      <c r="M37">
        <v>53</v>
      </c>
      <c r="N37">
        <v>17.48</v>
      </c>
      <c r="O37">
        <v>21.63</v>
      </c>
    </row>
    <row r="38" spans="1:15" x14ac:dyDescent="0.25">
      <c r="A38" s="19" t="s">
        <v>159</v>
      </c>
      <c r="B38" s="19"/>
      <c r="C38" s="19"/>
      <c r="D38" s="19"/>
      <c r="E38" s="19"/>
      <c r="F38" s="19"/>
      <c r="G38" s="19"/>
      <c r="J38" s="15">
        <v>35</v>
      </c>
      <c r="K38" s="16" t="s">
        <v>668</v>
      </c>
      <c r="L38" s="17">
        <v>15759</v>
      </c>
      <c r="M38">
        <v>21</v>
      </c>
      <c r="N38">
        <v>21.21</v>
      </c>
      <c r="O38">
        <v>25.29</v>
      </c>
    </row>
    <row r="39" spans="1:15" ht="21" x14ac:dyDescent="0.35">
      <c r="A39" s="24" t="s">
        <v>144</v>
      </c>
      <c r="B39" s="24"/>
      <c r="C39" s="24"/>
      <c r="D39" s="24"/>
      <c r="E39" t="s">
        <v>172</v>
      </c>
      <c r="F39" s="4">
        <f>'Letture-mill. u.i.'!F74-'Letture-mill. u.i.'!F73</f>
        <v>881</v>
      </c>
      <c r="G39" t="s">
        <v>86</v>
      </c>
      <c r="J39" s="15">
        <v>36</v>
      </c>
      <c r="K39" s="16" t="s">
        <v>669</v>
      </c>
      <c r="L39" s="17">
        <v>1275</v>
      </c>
      <c r="M39">
        <v>29</v>
      </c>
      <c r="N39">
        <v>18.829999999999998</v>
      </c>
      <c r="O39">
        <v>26.05</v>
      </c>
    </row>
    <row r="40" spans="1:15" ht="18" x14ac:dyDescent="0.35">
      <c r="A40" s="24" t="s">
        <v>146</v>
      </c>
      <c r="B40" s="24"/>
      <c r="C40" s="24"/>
      <c r="D40" s="24"/>
      <c r="E40" t="s">
        <v>173</v>
      </c>
      <c r="F40" s="4">
        <f>'Letture-mill. u.i.'!F76-'Letture-mill. u.i.'!F75</f>
        <v>986</v>
      </c>
      <c r="G40" t="s">
        <v>86</v>
      </c>
      <c r="J40" s="15">
        <v>37</v>
      </c>
      <c r="K40" s="16" t="s">
        <v>670</v>
      </c>
      <c r="L40" s="17">
        <v>8312</v>
      </c>
      <c r="M40">
        <v>47</v>
      </c>
      <c r="N40">
        <v>20.36</v>
      </c>
      <c r="O40">
        <v>25.29</v>
      </c>
    </row>
    <row r="41" spans="1:15" ht="18" x14ac:dyDescent="0.35">
      <c r="A41" s="24" t="s">
        <v>147</v>
      </c>
      <c r="B41" s="24"/>
      <c r="C41" s="24"/>
      <c r="D41" s="24"/>
      <c r="E41" t="s">
        <v>174</v>
      </c>
      <c r="F41" s="4">
        <f>'Letture-mill. u.i.'!F78-'Letture-mill. u.i.'!F77</f>
        <v>871</v>
      </c>
      <c r="G41" t="s">
        <v>86</v>
      </c>
      <c r="J41" s="15">
        <v>38</v>
      </c>
      <c r="K41" s="16" t="s">
        <v>671</v>
      </c>
      <c r="L41" s="17">
        <v>5037</v>
      </c>
      <c r="M41">
        <v>37</v>
      </c>
      <c r="N41">
        <v>22.58</v>
      </c>
      <c r="O41">
        <v>21.21</v>
      </c>
    </row>
    <row r="42" spans="1:15" ht="18" x14ac:dyDescent="0.35">
      <c r="A42" s="24" t="s">
        <v>148</v>
      </c>
      <c r="B42" s="24"/>
      <c r="C42" s="24"/>
      <c r="D42" s="24"/>
      <c r="E42" t="s">
        <v>175</v>
      </c>
      <c r="F42" s="4">
        <f>'Letture-mill. u.i.'!F80-'Letture-mill. u.i.'!F79</f>
        <v>820</v>
      </c>
      <c r="G42" t="s">
        <v>86</v>
      </c>
      <c r="J42" s="15">
        <v>39</v>
      </c>
      <c r="K42" s="16" t="s">
        <v>672</v>
      </c>
      <c r="L42" s="17">
        <v>0</v>
      </c>
      <c r="M42">
        <v>0</v>
      </c>
      <c r="N42">
        <v>89.69</v>
      </c>
      <c r="O42">
        <v>11.14</v>
      </c>
    </row>
    <row r="43" spans="1:15" ht="18" x14ac:dyDescent="0.35">
      <c r="A43" s="24" t="s">
        <v>149</v>
      </c>
      <c r="B43" s="24"/>
      <c r="C43" s="24"/>
      <c r="D43" s="24"/>
      <c r="E43" t="s">
        <v>176</v>
      </c>
      <c r="F43" s="4">
        <f>'Letture-mill. u.i.'!F82-'Letture-mill. u.i.'!F81</f>
        <v>297</v>
      </c>
      <c r="G43" t="s">
        <v>86</v>
      </c>
      <c r="J43" s="15">
        <v>40</v>
      </c>
      <c r="K43" s="16" t="s">
        <v>673</v>
      </c>
      <c r="L43" s="17">
        <v>5475</v>
      </c>
      <c r="M43">
        <v>8</v>
      </c>
      <c r="N43">
        <v>22.64</v>
      </c>
      <c r="O43">
        <v>25.75</v>
      </c>
    </row>
    <row r="44" spans="1:15" ht="18" x14ac:dyDescent="0.35">
      <c r="A44" s="24" t="s">
        <v>437</v>
      </c>
      <c r="B44" s="24"/>
      <c r="C44" s="24"/>
      <c r="D44" s="24"/>
      <c r="E44" t="s">
        <v>454</v>
      </c>
      <c r="F44" s="4">
        <f>'Letture-mill. u.i.'!F84-'Letture-mill. u.i.'!F83</f>
        <v>360</v>
      </c>
      <c r="G44" t="s">
        <v>86</v>
      </c>
      <c r="J44" s="15">
        <v>41</v>
      </c>
      <c r="K44" s="16" t="s">
        <v>674</v>
      </c>
      <c r="L44" s="17">
        <v>5658</v>
      </c>
      <c r="M44">
        <v>12</v>
      </c>
      <c r="N44">
        <v>22.52</v>
      </c>
      <c r="O44">
        <v>25.26</v>
      </c>
    </row>
    <row r="45" spans="1:15" ht="18" x14ac:dyDescent="0.35">
      <c r="A45" s="24" t="s">
        <v>438</v>
      </c>
      <c r="B45" s="24"/>
      <c r="C45" s="24"/>
      <c r="D45" s="24"/>
      <c r="E45" t="s">
        <v>455</v>
      </c>
      <c r="F45" s="4">
        <f>'Letture-mill. u.i.'!F86-'Letture-mill. u.i.'!F85</f>
        <v>150</v>
      </c>
      <c r="G45" t="s">
        <v>86</v>
      </c>
      <c r="J45" s="15">
        <v>42</v>
      </c>
      <c r="K45" s="16" t="s">
        <v>675</v>
      </c>
      <c r="L45" s="17">
        <v>3970</v>
      </c>
      <c r="M45">
        <v>12</v>
      </c>
      <c r="N45">
        <v>18.57</v>
      </c>
      <c r="O45">
        <v>25.72</v>
      </c>
    </row>
    <row r="46" spans="1:15" ht="18" x14ac:dyDescent="0.35">
      <c r="A46" s="24" t="s">
        <v>439</v>
      </c>
      <c r="B46" s="24"/>
      <c r="C46" s="24"/>
      <c r="D46" s="24"/>
      <c r="E46" t="s">
        <v>456</v>
      </c>
      <c r="F46" s="4">
        <f>'Letture-mill. u.i.'!F88-'Letture-mill. u.i.'!F87</f>
        <v>244</v>
      </c>
      <c r="G46" t="s">
        <v>86</v>
      </c>
      <c r="J46" s="15">
        <v>43</v>
      </c>
      <c r="K46" s="16" t="s">
        <v>676</v>
      </c>
      <c r="L46" s="17">
        <v>11969</v>
      </c>
      <c r="M46">
        <v>90</v>
      </c>
      <c r="N46">
        <v>19.940000000000001</v>
      </c>
      <c r="O46">
        <v>25.28</v>
      </c>
    </row>
    <row r="47" spans="1:15" ht="18" x14ac:dyDescent="0.35">
      <c r="A47" s="24" t="s">
        <v>440</v>
      </c>
      <c r="B47" s="24"/>
      <c r="C47" s="24"/>
      <c r="D47" s="24"/>
      <c r="E47" t="s">
        <v>457</v>
      </c>
      <c r="F47" s="4">
        <f>'Letture-mill. u.i.'!F90-'Letture-mill. u.i.'!F89</f>
        <v>761</v>
      </c>
      <c r="G47" t="s">
        <v>86</v>
      </c>
      <c r="J47" s="15">
        <v>44</v>
      </c>
      <c r="K47" s="16" t="s">
        <v>677</v>
      </c>
      <c r="L47" s="17">
        <v>19458</v>
      </c>
      <c r="M47">
        <v>69</v>
      </c>
      <c r="N47">
        <v>19.75</v>
      </c>
      <c r="O47">
        <v>21.56</v>
      </c>
    </row>
    <row r="48" spans="1:15" ht="18" x14ac:dyDescent="0.35">
      <c r="A48" s="24" t="s">
        <v>441</v>
      </c>
      <c r="B48" s="24"/>
      <c r="C48" s="24"/>
      <c r="D48" s="24"/>
      <c r="E48" t="s">
        <v>458</v>
      </c>
      <c r="F48" s="4">
        <f>'Letture-mill. u.i.'!F92-'Letture-mill. u.i.'!F91</f>
        <v>275</v>
      </c>
      <c r="G48" t="s">
        <v>86</v>
      </c>
      <c r="J48" s="15">
        <v>45</v>
      </c>
      <c r="K48" s="16" t="s">
        <v>678</v>
      </c>
      <c r="L48" s="17">
        <v>11593</v>
      </c>
      <c r="M48">
        <v>28</v>
      </c>
      <c r="N48">
        <v>19.27</v>
      </c>
      <c r="O48">
        <v>25.84</v>
      </c>
    </row>
    <row r="49" spans="1:13" ht="18" x14ac:dyDescent="0.35">
      <c r="A49" s="24" t="s">
        <v>150</v>
      </c>
      <c r="B49" s="24"/>
      <c r="C49" s="24"/>
      <c r="D49" s="24"/>
      <c r="E49" t="s">
        <v>177</v>
      </c>
      <c r="F49" s="4">
        <f>SUM(F39:F48)</f>
        <v>5645</v>
      </c>
      <c r="J49" s="17"/>
      <c r="K49" s="16" t="s">
        <v>679</v>
      </c>
      <c r="L49" s="17">
        <f>SUM(L4:L48)</f>
        <v>365340</v>
      </c>
      <c r="M49">
        <f>SUM(M4:M48)</f>
        <v>1652</v>
      </c>
    </row>
    <row r="51" spans="1:13" x14ac:dyDescent="0.25">
      <c r="A51" s="19" t="s">
        <v>459</v>
      </c>
      <c r="B51" s="19"/>
      <c r="C51" s="19"/>
      <c r="D51" s="19"/>
      <c r="E51" s="19"/>
      <c r="F51" s="19"/>
      <c r="G51" s="19"/>
    </row>
    <row r="52" spans="1:13" ht="18" x14ac:dyDescent="0.35">
      <c r="A52" s="24" t="s">
        <v>144</v>
      </c>
      <c r="B52" s="24"/>
      <c r="C52" s="24"/>
      <c r="D52" s="24"/>
      <c r="E52" t="s">
        <v>465</v>
      </c>
      <c r="F52" s="4">
        <f>'Letture-mill. u.i.'!F100-'Letture-mill. u.i.'!F99</f>
        <v>425</v>
      </c>
      <c r="G52" t="s">
        <v>86</v>
      </c>
    </row>
    <row r="53" spans="1:13" ht="18" x14ac:dyDescent="0.35">
      <c r="A53" s="24" t="s">
        <v>146</v>
      </c>
      <c r="B53" s="24"/>
      <c r="C53" s="24"/>
      <c r="D53" s="24"/>
      <c r="E53" t="s">
        <v>466</v>
      </c>
      <c r="F53" s="4">
        <f>'Letture-mill. u.i.'!F102-'Letture-mill. u.i.'!F101</f>
        <v>780</v>
      </c>
      <c r="G53" t="s">
        <v>86</v>
      </c>
    </row>
    <row r="54" spans="1:13" ht="18" x14ac:dyDescent="0.35">
      <c r="A54" s="24" t="s">
        <v>147</v>
      </c>
      <c r="B54" s="24"/>
      <c r="C54" s="24"/>
      <c r="D54" s="24"/>
      <c r="E54" t="s">
        <v>467</v>
      </c>
      <c r="F54" s="4">
        <f>'Letture-mill. u.i.'!F104-'Letture-mill. u.i.'!F103</f>
        <v>845</v>
      </c>
      <c r="G54" t="s">
        <v>86</v>
      </c>
    </row>
    <row r="55" spans="1:13" ht="18" x14ac:dyDescent="0.35">
      <c r="A55" s="24" t="s">
        <v>148</v>
      </c>
      <c r="B55" s="24"/>
      <c r="C55" s="24"/>
      <c r="D55" s="24"/>
      <c r="E55" t="s">
        <v>468</v>
      </c>
      <c r="F55" s="4">
        <f>'Letture-mill. u.i.'!F106-'Letture-mill. u.i.'!F105</f>
        <v>57</v>
      </c>
      <c r="G55" t="s">
        <v>86</v>
      </c>
    </row>
    <row r="56" spans="1:13" ht="18" x14ac:dyDescent="0.35">
      <c r="A56" s="24" t="s">
        <v>149</v>
      </c>
      <c r="B56" s="24"/>
      <c r="C56" s="24"/>
      <c r="D56" s="24"/>
      <c r="E56" t="s">
        <v>469</v>
      </c>
      <c r="F56" s="4">
        <f>'Letture-mill. u.i.'!F108-'Letture-mill. u.i.'!F107</f>
        <v>33</v>
      </c>
      <c r="G56" t="s">
        <v>86</v>
      </c>
    </row>
    <row r="57" spans="1:13" ht="18" x14ac:dyDescent="0.35">
      <c r="A57" s="24" t="s">
        <v>437</v>
      </c>
      <c r="B57" s="24"/>
      <c r="C57" s="24"/>
      <c r="D57" s="24"/>
      <c r="E57" t="s">
        <v>470</v>
      </c>
      <c r="F57" s="4">
        <f>'Letture-mill. u.i.'!F110-'Letture-mill. u.i.'!F109</f>
        <v>187</v>
      </c>
      <c r="G57" t="s">
        <v>86</v>
      </c>
    </row>
    <row r="58" spans="1:13" ht="18" x14ac:dyDescent="0.35">
      <c r="A58" s="24" t="s">
        <v>438</v>
      </c>
      <c r="B58" s="24"/>
      <c r="C58" s="24"/>
      <c r="D58" s="24"/>
      <c r="E58" t="s">
        <v>471</v>
      </c>
      <c r="F58" s="4">
        <f>'Letture-mill. u.i.'!F112-'Letture-mill. u.i.'!F111</f>
        <v>742</v>
      </c>
      <c r="G58" t="s">
        <v>86</v>
      </c>
    </row>
    <row r="59" spans="1:13" ht="18" x14ac:dyDescent="0.35">
      <c r="A59" s="24" t="s">
        <v>439</v>
      </c>
      <c r="B59" s="24"/>
      <c r="C59" s="24"/>
      <c r="D59" s="24"/>
      <c r="E59" t="s">
        <v>472</v>
      </c>
      <c r="F59" s="4">
        <f>'Letture-mill. u.i.'!F114-'Letture-mill. u.i.'!F113</f>
        <v>906</v>
      </c>
      <c r="G59" t="s">
        <v>86</v>
      </c>
    </row>
    <row r="60" spans="1:13" ht="18" x14ac:dyDescent="0.35">
      <c r="A60" s="24" t="s">
        <v>440</v>
      </c>
      <c r="B60" s="24"/>
      <c r="C60" s="24"/>
      <c r="D60" s="24"/>
      <c r="E60" t="s">
        <v>473</v>
      </c>
      <c r="F60" s="4">
        <f>'Letture-mill. u.i.'!F116-'Letture-mill. u.i.'!F115</f>
        <v>2</v>
      </c>
      <c r="G60" t="s">
        <v>86</v>
      </c>
    </row>
    <row r="61" spans="1:13" ht="18" x14ac:dyDescent="0.35">
      <c r="A61" s="24" t="s">
        <v>150</v>
      </c>
      <c r="B61" s="24"/>
      <c r="C61" s="24"/>
      <c r="D61" s="24"/>
      <c r="E61" t="s">
        <v>474</v>
      </c>
      <c r="F61" s="4">
        <f>SUM(F51:F60)</f>
        <v>3977</v>
      </c>
    </row>
    <row r="63" spans="1:13" x14ac:dyDescent="0.25">
      <c r="A63" s="19" t="s">
        <v>460</v>
      </c>
      <c r="B63" s="19"/>
      <c r="C63" s="19"/>
      <c r="D63" s="19"/>
      <c r="E63" s="19"/>
      <c r="F63" s="19"/>
      <c r="G63" s="19"/>
    </row>
    <row r="64" spans="1:13" ht="18" x14ac:dyDescent="0.35">
      <c r="A64" s="24" t="s">
        <v>144</v>
      </c>
      <c r="B64" s="24"/>
      <c r="C64" s="24"/>
      <c r="D64" s="24"/>
      <c r="E64" t="s">
        <v>475</v>
      </c>
      <c r="F64" s="4">
        <f>'Letture-mill. u.i.'!F124-'Letture-mill. u.i.'!F123</f>
        <v>496</v>
      </c>
      <c r="G64" t="s">
        <v>86</v>
      </c>
    </row>
    <row r="65" spans="1:7" ht="18" x14ac:dyDescent="0.35">
      <c r="A65" s="24" t="s">
        <v>146</v>
      </c>
      <c r="B65" s="24"/>
      <c r="C65" s="24"/>
      <c r="D65" s="24"/>
      <c r="E65" t="s">
        <v>476</v>
      </c>
      <c r="F65" s="4">
        <f>'Letture-mill. u.i.'!F126-'Letture-mill. u.i.'!F125</f>
        <v>1736</v>
      </c>
      <c r="G65" t="s">
        <v>86</v>
      </c>
    </row>
    <row r="66" spans="1:7" ht="18" x14ac:dyDescent="0.35">
      <c r="A66" s="24" t="s">
        <v>147</v>
      </c>
      <c r="B66" s="24"/>
      <c r="C66" s="24"/>
      <c r="D66" s="24"/>
      <c r="E66" t="s">
        <v>477</v>
      </c>
      <c r="F66" s="4">
        <f>'Letture-mill. u.i.'!F128-'Letture-mill. u.i.'!F127</f>
        <v>1016</v>
      </c>
      <c r="G66" t="s">
        <v>86</v>
      </c>
    </row>
    <row r="67" spans="1:7" ht="18" x14ac:dyDescent="0.35">
      <c r="A67" s="24" t="s">
        <v>148</v>
      </c>
      <c r="B67" s="24"/>
      <c r="C67" s="24"/>
      <c r="D67" s="24"/>
      <c r="E67" t="s">
        <v>478</v>
      </c>
      <c r="F67" s="4">
        <f>'Letture-mill. u.i.'!F130-'Letture-mill. u.i.'!F129</f>
        <v>1539</v>
      </c>
      <c r="G67" t="s">
        <v>86</v>
      </c>
    </row>
    <row r="68" spans="1:7" ht="18" x14ac:dyDescent="0.35">
      <c r="A68" s="24" t="s">
        <v>149</v>
      </c>
      <c r="B68" s="24"/>
      <c r="C68" s="24"/>
      <c r="D68" s="24"/>
      <c r="E68" t="s">
        <v>479</v>
      </c>
      <c r="F68" s="4">
        <f>'Letture-mill. u.i.'!F132-'Letture-mill. u.i.'!F131</f>
        <v>1239</v>
      </c>
      <c r="G68" t="s">
        <v>86</v>
      </c>
    </row>
    <row r="69" spans="1:7" ht="18" x14ac:dyDescent="0.35">
      <c r="A69" s="24" t="s">
        <v>437</v>
      </c>
      <c r="B69" s="24"/>
      <c r="C69" s="24"/>
      <c r="D69" s="24"/>
      <c r="E69" t="s">
        <v>480</v>
      </c>
      <c r="F69" s="4">
        <f>'Letture-mill. u.i.'!F134-'Letture-mill. u.i.'!F133</f>
        <v>1412</v>
      </c>
      <c r="G69" t="s">
        <v>86</v>
      </c>
    </row>
    <row r="70" spans="1:7" ht="18" x14ac:dyDescent="0.35">
      <c r="A70" s="24" t="s">
        <v>438</v>
      </c>
      <c r="B70" s="24"/>
      <c r="C70" s="24"/>
      <c r="D70" s="24"/>
      <c r="E70" t="s">
        <v>481</v>
      </c>
      <c r="F70" s="4">
        <f>'Letture-mill. u.i.'!F136-'Letture-mill. u.i.'!F135</f>
        <v>1412</v>
      </c>
      <c r="G70" t="s">
        <v>86</v>
      </c>
    </row>
    <row r="71" spans="1:7" ht="18" x14ac:dyDescent="0.35">
      <c r="A71" s="24" t="s">
        <v>439</v>
      </c>
      <c r="B71" s="24"/>
      <c r="C71" s="24"/>
      <c r="D71" s="24"/>
      <c r="E71" t="s">
        <v>482</v>
      </c>
      <c r="F71" s="4">
        <f>'Letture-mill. u.i.'!F138-'Letture-mill. u.i.'!F137</f>
        <v>1412</v>
      </c>
      <c r="G71" t="s">
        <v>86</v>
      </c>
    </row>
    <row r="72" spans="1:7" ht="18" x14ac:dyDescent="0.35">
      <c r="A72" s="24" t="s">
        <v>150</v>
      </c>
      <c r="B72" s="24"/>
      <c r="C72" s="24"/>
      <c r="D72" s="24"/>
      <c r="E72" t="s">
        <v>483</v>
      </c>
      <c r="F72" s="4">
        <f>SUM(F62:F71)</f>
        <v>10262</v>
      </c>
    </row>
    <row r="74" spans="1:7" x14ac:dyDescent="0.25">
      <c r="A74" s="19" t="s">
        <v>461</v>
      </c>
      <c r="B74" s="19"/>
      <c r="C74" s="19"/>
      <c r="D74" s="19"/>
      <c r="E74" s="19"/>
      <c r="F74" s="19"/>
      <c r="G74" s="19"/>
    </row>
    <row r="75" spans="1:7" ht="18" x14ac:dyDescent="0.35">
      <c r="A75" s="24" t="s">
        <v>144</v>
      </c>
      <c r="B75" s="24"/>
      <c r="C75" s="24"/>
      <c r="D75" s="24"/>
      <c r="E75" t="s">
        <v>484</v>
      </c>
      <c r="F75" s="4">
        <f>'Letture-mill. u.i.'!F146-'Letture-mill. u.i.'!F145</f>
        <v>496</v>
      </c>
      <c r="G75" t="s">
        <v>86</v>
      </c>
    </row>
    <row r="76" spans="1:7" ht="18" x14ac:dyDescent="0.35">
      <c r="A76" s="24" t="s">
        <v>146</v>
      </c>
      <c r="B76" s="24"/>
      <c r="C76" s="24"/>
      <c r="D76" s="24"/>
      <c r="E76" t="s">
        <v>485</v>
      </c>
      <c r="F76" s="4">
        <f>'Letture-mill. u.i.'!F148-'Letture-mill. u.i.'!F147</f>
        <v>1736</v>
      </c>
      <c r="G76" t="s">
        <v>86</v>
      </c>
    </row>
    <row r="77" spans="1:7" ht="18" x14ac:dyDescent="0.35">
      <c r="A77" s="24" t="s">
        <v>147</v>
      </c>
      <c r="B77" s="24"/>
      <c r="C77" s="24"/>
      <c r="D77" s="24"/>
      <c r="E77" t="s">
        <v>486</v>
      </c>
      <c r="F77" s="4">
        <f>'Letture-mill. u.i.'!F150-'Letture-mill. u.i.'!F149</f>
        <v>1016</v>
      </c>
      <c r="G77" t="s">
        <v>86</v>
      </c>
    </row>
    <row r="78" spans="1:7" ht="18" x14ac:dyDescent="0.35">
      <c r="A78" s="24" t="s">
        <v>148</v>
      </c>
      <c r="B78" s="24"/>
      <c r="C78" s="24"/>
      <c r="D78" s="24"/>
      <c r="E78" t="s">
        <v>487</v>
      </c>
      <c r="F78" s="4">
        <f>'Letture-mill. u.i.'!F152-'Letture-mill. u.i.'!F151</f>
        <v>1539</v>
      </c>
      <c r="G78" t="s">
        <v>86</v>
      </c>
    </row>
    <row r="79" spans="1:7" ht="18" x14ac:dyDescent="0.35">
      <c r="A79" s="24" t="s">
        <v>149</v>
      </c>
      <c r="B79" s="24"/>
      <c r="C79" s="24"/>
      <c r="D79" s="24"/>
      <c r="E79" t="s">
        <v>488</v>
      </c>
      <c r="F79" s="4">
        <f>'Letture-mill. u.i.'!F154-'Letture-mill. u.i.'!F153</f>
        <v>1239</v>
      </c>
      <c r="G79" t="s">
        <v>86</v>
      </c>
    </row>
    <row r="80" spans="1:7" ht="18" x14ac:dyDescent="0.35">
      <c r="A80" s="24" t="s">
        <v>437</v>
      </c>
      <c r="B80" s="24"/>
      <c r="C80" s="24"/>
      <c r="D80" s="24"/>
      <c r="E80" t="s">
        <v>489</v>
      </c>
      <c r="F80" s="4">
        <f>'Letture-mill. u.i.'!F156-'Letture-mill. u.i.'!F155</f>
        <v>1412</v>
      </c>
      <c r="G80" t="s">
        <v>86</v>
      </c>
    </row>
    <row r="81" spans="1:7" ht="18" x14ac:dyDescent="0.35">
      <c r="A81" s="24" t="s">
        <v>438</v>
      </c>
      <c r="B81" s="24"/>
      <c r="C81" s="24"/>
      <c r="D81" s="24"/>
      <c r="E81" t="s">
        <v>490</v>
      </c>
      <c r="F81" s="4">
        <f>'Letture-mill. u.i.'!F158-'Letture-mill. u.i.'!F157</f>
        <v>1412</v>
      </c>
      <c r="G81" t="s">
        <v>86</v>
      </c>
    </row>
    <row r="82" spans="1:7" ht="18" x14ac:dyDescent="0.35">
      <c r="A82" s="24" t="s">
        <v>439</v>
      </c>
      <c r="B82" s="24"/>
      <c r="C82" s="24"/>
      <c r="D82" s="24"/>
      <c r="E82" t="s">
        <v>491</v>
      </c>
      <c r="F82" s="4">
        <f>'Letture-mill. u.i.'!F160-'Letture-mill. u.i.'!F159</f>
        <v>1412</v>
      </c>
      <c r="G82" t="s">
        <v>86</v>
      </c>
    </row>
    <row r="83" spans="1:7" ht="18" x14ac:dyDescent="0.35">
      <c r="A83" s="24" t="s">
        <v>150</v>
      </c>
      <c r="B83" s="24"/>
      <c r="C83" s="24"/>
      <c r="D83" s="24"/>
      <c r="E83" t="s">
        <v>492</v>
      </c>
      <c r="F83" s="4">
        <f>SUM(F73:F82)</f>
        <v>10262</v>
      </c>
    </row>
    <row r="85" spans="1:7" x14ac:dyDescent="0.25">
      <c r="A85" s="19" t="s">
        <v>462</v>
      </c>
      <c r="B85" s="19"/>
      <c r="C85" s="19"/>
      <c r="D85" s="19"/>
      <c r="E85" s="19"/>
      <c r="F85" s="19"/>
      <c r="G85" s="19"/>
    </row>
    <row r="86" spans="1:7" ht="18" x14ac:dyDescent="0.35">
      <c r="A86" s="24" t="s">
        <v>144</v>
      </c>
      <c r="B86" s="24"/>
      <c r="C86" s="24"/>
      <c r="D86" s="24"/>
      <c r="E86" t="s">
        <v>493</v>
      </c>
      <c r="F86" s="4">
        <f>'Letture-mill. u.i.'!F168-'Letture-mill. u.i.'!F167</f>
        <v>608</v>
      </c>
      <c r="G86" t="s">
        <v>86</v>
      </c>
    </row>
    <row r="87" spans="1:7" ht="18" x14ac:dyDescent="0.35">
      <c r="A87" s="24" t="s">
        <v>146</v>
      </c>
      <c r="B87" s="24"/>
      <c r="C87" s="24"/>
      <c r="D87" s="24"/>
      <c r="E87" t="s">
        <v>494</v>
      </c>
      <c r="F87" s="4">
        <f>'Letture-mill. u.i.'!F170-'Letture-mill. u.i.'!F169</f>
        <v>2016</v>
      </c>
      <c r="G87" t="s">
        <v>86</v>
      </c>
    </row>
    <row r="88" spans="1:7" ht="18" x14ac:dyDescent="0.35">
      <c r="A88" s="24" t="s">
        <v>147</v>
      </c>
      <c r="B88" s="24"/>
      <c r="C88" s="24"/>
      <c r="D88" s="24"/>
      <c r="E88" t="s">
        <v>495</v>
      </c>
      <c r="F88" s="4">
        <f>'Letture-mill. u.i.'!F172-'Letture-mill. u.i.'!F171</f>
        <v>1260</v>
      </c>
      <c r="G88" t="s">
        <v>86</v>
      </c>
    </row>
    <row r="89" spans="1:7" ht="18" x14ac:dyDescent="0.35">
      <c r="A89" s="24" t="s">
        <v>148</v>
      </c>
      <c r="B89" s="24"/>
      <c r="C89" s="24"/>
      <c r="D89" s="24"/>
      <c r="E89" t="s">
        <v>496</v>
      </c>
      <c r="F89" s="4">
        <f>'Letture-mill. u.i.'!F174-'Letture-mill. u.i.'!F173</f>
        <v>1512</v>
      </c>
      <c r="G89" t="s">
        <v>86</v>
      </c>
    </row>
    <row r="90" spans="1:7" ht="18" x14ac:dyDescent="0.35">
      <c r="A90" s="24" t="s">
        <v>149</v>
      </c>
      <c r="B90" s="24"/>
      <c r="C90" s="24"/>
      <c r="D90" s="24"/>
      <c r="E90" t="s">
        <v>497</v>
      </c>
      <c r="F90" s="4">
        <f>'Letture-mill. u.i.'!F176-'Letture-mill. u.i.'!F175</f>
        <v>1412</v>
      </c>
      <c r="G90" t="s">
        <v>86</v>
      </c>
    </row>
    <row r="91" spans="1:7" ht="18" x14ac:dyDescent="0.35">
      <c r="A91" s="24" t="s">
        <v>437</v>
      </c>
      <c r="B91" s="24"/>
      <c r="C91" s="24"/>
      <c r="D91" s="24"/>
      <c r="E91" t="s">
        <v>498</v>
      </c>
      <c r="F91" s="4">
        <f>'Letture-mill. u.i.'!F178-'Letture-mill. u.i.'!F177</f>
        <v>1412</v>
      </c>
      <c r="G91" t="s">
        <v>86</v>
      </c>
    </row>
    <row r="92" spans="1:7" ht="18" x14ac:dyDescent="0.35">
      <c r="A92" s="24" t="s">
        <v>438</v>
      </c>
      <c r="B92" s="24"/>
      <c r="C92" s="24"/>
      <c r="D92" s="24"/>
      <c r="E92" t="s">
        <v>499</v>
      </c>
      <c r="F92" s="4">
        <f>'Letture-mill. u.i.'!F180-'Letture-mill. u.i.'!F179</f>
        <v>1412</v>
      </c>
      <c r="G92" t="s">
        <v>86</v>
      </c>
    </row>
    <row r="93" spans="1:7" ht="18" x14ac:dyDescent="0.35">
      <c r="A93" s="24" t="s">
        <v>439</v>
      </c>
      <c r="B93" s="24"/>
      <c r="C93" s="24"/>
      <c r="D93" s="24"/>
      <c r="E93" t="s">
        <v>500</v>
      </c>
      <c r="F93" s="4">
        <f>'Letture-mill. u.i.'!F182-'Letture-mill. u.i.'!F181</f>
        <v>1412</v>
      </c>
      <c r="G93" t="s">
        <v>86</v>
      </c>
    </row>
    <row r="94" spans="1:7" ht="18" x14ac:dyDescent="0.35">
      <c r="A94" s="24" t="s">
        <v>440</v>
      </c>
      <c r="B94" s="24"/>
      <c r="C94" s="24"/>
      <c r="D94" s="24"/>
      <c r="E94" t="s">
        <v>501</v>
      </c>
      <c r="F94" s="4">
        <f>'Letture-mill. u.i.'!F184-'Letture-mill. u.i.'!F183</f>
        <v>1412</v>
      </c>
      <c r="G94" t="s">
        <v>86</v>
      </c>
    </row>
    <row r="95" spans="1:7" ht="18" x14ac:dyDescent="0.35">
      <c r="A95" s="24" t="s">
        <v>441</v>
      </c>
      <c r="B95" s="24"/>
      <c r="C95" s="24"/>
      <c r="D95" s="24"/>
      <c r="E95" t="s">
        <v>502</v>
      </c>
      <c r="F95" s="4">
        <f>'Letture-mill. u.i.'!F186-'Letture-mill. u.i.'!F185</f>
        <v>1412</v>
      </c>
      <c r="G95" t="s">
        <v>86</v>
      </c>
    </row>
    <row r="96" spans="1:7" ht="18" x14ac:dyDescent="0.35">
      <c r="A96" s="24" t="s">
        <v>442</v>
      </c>
      <c r="B96" s="24"/>
      <c r="C96" s="24"/>
      <c r="D96" s="24"/>
      <c r="E96" t="s">
        <v>503</v>
      </c>
      <c r="F96" s="4">
        <f>'Letture-mill. u.i.'!F188-'Letture-mill. u.i.'!F187</f>
        <v>1412</v>
      </c>
      <c r="G96" t="s">
        <v>86</v>
      </c>
    </row>
    <row r="97" spans="1:7" ht="18" x14ac:dyDescent="0.35">
      <c r="A97" s="24" t="s">
        <v>150</v>
      </c>
      <c r="B97" s="24"/>
      <c r="C97" s="24"/>
      <c r="D97" s="24"/>
      <c r="E97" t="s">
        <v>504</v>
      </c>
      <c r="F97" s="4">
        <f>SUM(F86:F96)</f>
        <v>15280</v>
      </c>
    </row>
    <row r="99" spans="1:7" x14ac:dyDescent="0.25">
      <c r="A99" s="19" t="s">
        <v>463</v>
      </c>
      <c r="B99" s="19"/>
      <c r="C99" s="19"/>
      <c r="D99" s="19"/>
      <c r="E99" s="19"/>
      <c r="F99" s="19"/>
      <c r="G99" s="19"/>
    </row>
    <row r="100" spans="1:7" ht="18" x14ac:dyDescent="0.35">
      <c r="A100" s="24" t="s">
        <v>144</v>
      </c>
      <c r="B100" s="24"/>
      <c r="C100" s="24"/>
      <c r="D100" s="24"/>
      <c r="E100" t="s">
        <v>505</v>
      </c>
      <c r="F100" s="4">
        <f>'Letture-mill. u.i.'!F196-'Letture-mill. u.i.'!F195</f>
        <v>608</v>
      </c>
      <c r="G100" t="s">
        <v>86</v>
      </c>
    </row>
    <row r="101" spans="1:7" ht="18" x14ac:dyDescent="0.35">
      <c r="A101" s="24" t="s">
        <v>146</v>
      </c>
      <c r="B101" s="24"/>
      <c r="C101" s="24"/>
      <c r="D101" s="24"/>
      <c r="E101" t="s">
        <v>506</v>
      </c>
      <c r="F101" s="4">
        <f>'Letture-mill. u.i.'!F198-'Letture-mill. u.i.'!F197</f>
        <v>2016</v>
      </c>
      <c r="G101" t="s">
        <v>86</v>
      </c>
    </row>
    <row r="102" spans="1:7" ht="18" x14ac:dyDescent="0.35">
      <c r="A102" s="24" t="s">
        <v>147</v>
      </c>
      <c r="B102" s="24"/>
      <c r="C102" s="24"/>
      <c r="D102" s="24"/>
      <c r="E102" t="s">
        <v>507</v>
      </c>
      <c r="F102" s="4">
        <f>'Letture-mill. u.i.'!F200-'Letture-mill. u.i.'!F199</f>
        <v>1260</v>
      </c>
      <c r="G102" t="s">
        <v>86</v>
      </c>
    </row>
    <row r="103" spans="1:7" ht="18" x14ac:dyDescent="0.35">
      <c r="A103" s="24" t="s">
        <v>148</v>
      </c>
      <c r="B103" s="24"/>
      <c r="C103" s="24"/>
      <c r="D103" s="24"/>
      <c r="E103" t="s">
        <v>508</v>
      </c>
      <c r="F103" s="4">
        <f>'Letture-mill. u.i.'!F202-'Letture-mill. u.i.'!F201</f>
        <v>1512</v>
      </c>
      <c r="G103" t="s">
        <v>86</v>
      </c>
    </row>
    <row r="104" spans="1:7" ht="18" x14ac:dyDescent="0.35">
      <c r="A104" s="24" t="s">
        <v>149</v>
      </c>
      <c r="B104" s="24"/>
      <c r="C104" s="24"/>
      <c r="D104" s="24"/>
      <c r="E104" t="s">
        <v>509</v>
      </c>
      <c r="F104" s="4">
        <f>'Letture-mill. u.i.'!F204-'Letture-mill. u.i.'!F203</f>
        <v>1412</v>
      </c>
      <c r="G104" t="s">
        <v>86</v>
      </c>
    </row>
    <row r="105" spans="1:7" ht="18" x14ac:dyDescent="0.35">
      <c r="A105" s="24" t="s">
        <v>437</v>
      </c>
      <c r="B105" s="24"/>
      <c r="C105" s="24"/>
      <c r="D105" s="24"/>
      <c r="E105" t="s">
        <v>510</v>
      </c>
      <c r="F105" s="4">
        <f>'Letture-mill. u.i.'!F206-'Letture-mill. u.i.'!F205</f>
        <v>1412</v>
      </c>
      <c r="G105" t="s">
        <v>86</v>
      </c>
    </row>
    <row r="106" spans="1:7" ht="18" x14ac:dyDescent="0.35">
      <c r="A106" s="24" t="s">
        <v>438</v>
      </c>
      <c r="B106" s="24"/>
      <c r="C106" s="24"/>
      <c r="D106" s="24"/>
      <c r="E106" t="s">
        <v>511</v>
      </c>
      <c r="F106" s="4">
        <f>'Letture-mill. u.i.'!F208-'Letture-mill. u.i.'!F207</f>
        <v>1412</v>
      </c>
      <c r="G106" t="s">
        <v>86</v>
      </c>
    </row>
    <row r="107" spans="1:7" ht="18" x14ac:dyDescent="0.35">
      <c r="A107" s="24" t="s">
        <v>439</v>
      </c>
      <c r="B107" s="24"/>
      <c r="C107" s="24"/>
      <c r="D107" s="24"/>
      <c r="E107" t="s">
        <v>512</v>
      </c>
      <c r="F107" s="4">
        <f>'Letture-mill. u.i.'!F210-'Letture-mill. u.i.'!F209</f>
        <v>1412</v>
      </c>
      <c r="G107" t="s">
        <v>86</v>
      </c>
    </row>
    <row r="108" spans="1:7" ht="18" x14ac:dyDescent="0.35">
      <c r="A108" s="24" t="s">
        <v>150</v>
      </c>
      <c r="B108" s="24"/>
      <c r="C108" s="24"/>
      <c r="D108" s="24"/>
      <c r="E108" t="s">
        <v>513</v>
      </c>
      <c r="F108" s="4">
        <f>SUM(F100:F107)</f>
        <v>11044</v>
      </c>
    </row>
    <row r="110" spans="1:7" x14ac:dyDescent="0.25">
      <c r="A110" s="19" t="s">
        <v>464</v>
      </c>
      <c r="B110" s="19"/>
      <c r="C110" s="19"/>
      <c r="D110" s="19"/>
      <c r="E110" s="19"/>
      <c r="F110" s="19"/>
      <c r="G110" s="19"/>
    </row>
    <row r="111" spans="1:7" ht="18" x14ac:dyDescent="0.35">
      <c r="A111" s="24" t="s">
        <v>144</v>
      </c>
      <c r="B111" s="24"/>
      <c r="C111" s="24"/>
      <c r="D111" s="24"/>
      <c r="E111" t="s">
        <v>514</v>
      </c>
      <c r="F111" s="4">
        <f>'Letture-mill. u.i.'!F218-'Letture-mill. u.i.'!F217</f>
        <v>608</v>
      </c>
      <c r="G111" t="s">
        <v>86</v>
      </c>
    </row>
    <row r="112" spans="1:7" ht="18" x14ac:dyDescent="0.35">
      <c r="A112" s="24" t="s">
        <v>146</v>
      </c>
      <c r="B112" s="24"/>
      <c r="C112" s="24"/>
      <c r="D112" s="24"/>
      <c r="E112" t="s">
        <v>515</v>
      </c>
      <c r="F112" s="4">
        <f>'Letture-mill. u.i.'!F220-'Letture-mill. u.i.'!F219</f>
        <v>2016</v>
      </c>
      <c r="G112" t="s">
        <v>86</v>
      </c>
    </row>
    <row r="113" spans="1:7" ht="18" x14ac:dyDescent="0.35">
      <c r="A113" s="24" t="s">
        <v>147</v>
      </c>
      <c r="B113" s="24"/>
      <c r="C113" s="24"/>
      <c r="D113" s="24"/>
      <c r="E113" t="s">
        <v>516</v>
      </c>
      <c r="F113" s="4">
        <f>'Letture-mill. u.i.'!F222-'Letture-mill. u.i.'!F221</f>
        <v>1260</v>
      </c>
      <c r="G113" t="s">
        <v>86</v>
      </c>
    </row>
    <row r="114" spans="1:7" ht="18" x14ac:dyDescent="0.35">
      <c r="A114" s="24" t="s">
        <v>148</v>
      </c>
      <c r="B114" s="24"/>
      <c r="C114" s="24"/>
      <c r="D114" s="24"/>
      <c r="E114" t="s">
        <v>517</v>
      </c>
      <c r="F114" s="4">
        <f>'Letture-mill. u.i.'!F224-'Letture-mill. u.i.'!F223</f>
        <v>1512</v>
      </c>
      <c r="G114" t="s">
        <v>86</v>
      </c>
    </row>
    <row r="115" spans="1:7" ht="18" x14ac:dyDescent="0.35">
      <c r="A115" s="24" t="s">
        <v>149</v>
      </c>
      <c r="B115" s="24"/>
      <c r="C115" s="24"/>
      <c r="D115" s="24"/>
      <c r="E115" t="s">
        <v>518</v>
      </c>
      <c r="F115" s="4">
        <f>'Letture-mill. u.i.'!F226-'Letture-mill. u.i.'!F225</f>
        <v>1412</v>
      </c>
      <c r="G115" t="s">
        <v>86</v>
      </c>
    </row>
    <row r="116" spans="1:7" ht="18" x14ac:dyDescent="0.35">
      <c r="A116" s="24" t="s">
        <v>437</v>
      </c>
      <c r="B116" s="24"/>
      <c r="C116" s="24"/>
      <c r="D116" s="24"/>
      <c r="E116" t="s">
        <v>519</v>
      </c>
      <c r="F116" s="4">
        <f>'Letture-mill. u.i.'!F228-'Letture-mill. u.i.'!F227</f>
        <v>1412</v>
      </c>
      <c r="G116" t="s">
        <v>86</v>
      </c>
    </row>
    <row r="117" spans="1:7" ht="18" x14ac:dyDescent="0.35">
      <c r="A117" s="24" t="s">
        <v>438</v>
      </c>
      <c r="B117" s="24"/>
      <c r="C117" s="24"/>
      <c r="D117" s="24"/>
      <c r="E117" t="s">
        <v>520</v>
      </c>
      <c r="F117" s="4">
        <f>'Letture-mill. u.i.'!F230-'Letture-mill. u.i.'!F229</f>
        <v>1412</v>
      </c>
      <c r="G117" t="s">
        <v>86</v>
      </c>
    </row>
    <row r="118" spans="1:7" ht="18" x14ac:dyDescent="0.35">
      <c r="A118" s="24" t="s">
        <v>439</v>
      </c>
      <c r="B118" s="24"/>
      <c r="C118" s="24"/>
      <c r="D118" s="24"/>
      <c r="E118" t="s">
        <v>521</v>
      </c>
      <c r="F118" s="4">
        <f>'Letture-mill. u.i.'!F232-'Letture-mill. u.i.'!F231</f>
        <v>1412</v>
      </c>
      <c r="G118" t="s">
        <v>86</v>
      </c>
    </row>
    <row r="119" spans="1:7" ht="18" x14ac:dyDescent="0.35">
      <c r="A119" s="24" t="s">
        <v>440</v>
      </c>
      <c r="B119" s="24"/>
      <c r="C119" s="24"/>
      <c r="D119" s="24"/>
      <c r="E119" t="s">
        <v>522</v>
      </c>
      <c r="F119" s="4">
        <f>'Letture-mill. u.i.'!F234-'Letture-mill. u.i.'!F233</f>
        <v>1412</v>
      </c>
      <c r="G119" t="s">
        <v>86</v>
      </c>
    </row>
    <row r="120" spans="1:7" ht="18" x14ac:dyDescent="0.35">
      <c r="A120" s="24" t="s">
        <v>150</v>
      </c>
      <c r="B120" s="24"/>
      <c r="C120" s="24"/>
      <c r="D120" s="24"/>
      <c r="E120" t="s">
        <v>523</v>
      </c>
      <c r="F120" s="4">
        <f>SUM(F109:F119)</f>
        <v>12456</v>
      </c>
    </row>
    <row r="122" spans="1:7" ht="18" x14ac:dyDescent="0.35">
      <c r="A122" s="19" t="s">
        <v>530</v>
      </c>
      <c r="B122" s="19"/>
      <c r="C122" s="19"/>
      <c r="D122" s="19"/>
      <c r="E122" s="4">
        <f>F15+F25+F36+F49+F61+F72+F83+F97+F108+F120</f>
        <v>90084</v>
      </c>
    </row>
    <row r="125" spans="1:7" x14ac:dyDescent="0.25">
      <c r="A125" s="11"/>
      <c r="B125" s="23" t="s">
        <v>614</v>
      </c>
      <c r="C125" s="23"/>
      <c r="D125" s="23"/>
      <c r="E125" s="23"/>
    </row>
    <row r="126" spans="1:7" x14ac:dyDescent="0.25">
      <c r="A126" s="12"/>
      <c r="B126" s="23" t="s">
        <v>615</v>
      </c>
      <c r="C126" s="23"/>
      <c r="D126" s="23"/>
      <c r="E126" s="23"/>
    </row>
  </sheetData>
  <mergeCells count="113">
    <mergeCell ref="A8:D8"/>
    <mergeCell ref="A3:G3"/>
    <mergeCell ref="A2:G2"/>
    <mergeCell ref="A4:D4"/>
    <mergeCell ref="A5:D5"/>
    <mergeCell ref="A6:D6"/>
    <mergeCell ref="A7:D7"/>
    <mergeCell ref="A22:D22"/>
    <mergeCell ref="A9:D9"/>
    <mergeCell ref="A10:D10"/>
    <mergeCell ref="A11:D11"/>
    <mergeCell ref="A12:D12"/>
    <mergeCell ref="A14:D14"/>
    <mergeCell ref="A15:D15"/>
    <mergeCell ref="A17:G17"/>
    <mergeCell ref="A18:D18"/>
    <mergeCell ref="A19:D19"/>
    <mergeCell ref="A20:D20"/>
    <mergeCell ref="A21:D21"/>
    <mergeCell ref="A13:D13"/>
    <mergeCell ref="A32:D32"/>
    <mergeCell ref="A23:D23"/>
    <mergeCell ref="A24:D24"/>
    <mergeCell ref="A25:D25"/>
    <mergeCell ref="A27:G27"/>
    <mergeCell ref="A28:D28"/>
    <mergeCell ref="A29:D29"/>
    <mergeCell ref="A30:D30"/>
    <mergeCell ref="A31:D31"/>
    <mergeCell ref="A43:D43"/>
    <mergeCell ref="A33:D33"/>
    <mergeCell ref="A34:D34"/>
    <mergeCell ref="A35:D35"/>
    <mergeCell ref="A36:D36"/>
    <mergeCell ref="A38:G38"/>
    <mergeCell ref="A39:D39"/>
    <mergeCell ref="A40:D40"/>
    <mergeCell ref="A41:D41"/>
    <mergeCell ref="A42:D42"/>
    <mergeCell ref="A56:D56"/>
    <mergeCell ref="A44:D44"/>
    <mergeCell ref="A45:D45"/>
    <mergeCell ref="A46:D46"/>
    <mergeCell ref="A47:D47"/>
    <mergeCell ref="A48:D48"/>
    <mergeCell ref="A49:D49"/>
    <mergeCell ref="A51:G51"/>
    <mergeCell ref="A52:D52"/>
    <mergeCell ref="A53:D53"/>
    <mergeCell ref="A54:D54"/>
    <mergeCell ref="A55:D55"/>
    <mergeCell ref="A70:D70"/>
    <mergeCell ref="A57:D57"/>
    <mergeCell ref="A58:D58"/>
    <mergeCell ref="A59:D59"/>
    <mergeCell ref="A60:D60"/>
    <mergeCell ref="A61:D61"/>
    <mergeCell ref="A63:G63"/>
    <mergeCell ref="A64:D64"/>
    <mergeCell ref="A65:D65"/>
    <mergeCell ref="A66:D66"/>
    <mergeCell ref="A67:D67"/>
    <mergeCell ref="A68:D68"/>
    <mergeCell ref="A69:D69"/>
    <mergeCell ref="A77:D77"/>
    <mergeCell ref="A78:D78"/>
    <mergeCell ref="A79:D79"/>
    <mergeCell ref="A80:D80"/>
    <mergeCell ref="A81:D81"/>
    <mergeCell ref="A71:D71"/>
    <mergeCell ref="A72:D72"/>
    <mergeCell ref="A74:G74"/>
    <mergeCell ref="A75:D75"/>
    <mergeCell ref="A76:D76"/>
    <mergeCell ref="A88:D88"/>
    <mergeCell ref="A89:D89"/>
    <mergeCell ref="A90:D90"/>
    <mergeCell ref="A91:D91"/>
    <mergeCell ref="A92:D92"/>
    <mergeCell ref="A82:D82"/>
    <mergeCell ref="A83:D83"/>
    <mergeCell ref="A85:G85"/>
    <mergeCell ref="A86:D86"/>
    <mergeCell ref="A87:D87"/>
    <mergeCell ref="A99:G99"/>
    <mergeCell ref="A100:D100"/>
    <mergeCell ref="A101:D101"/>
    <mergeCell ref="A102:D102"/>
    <mergeCell ref="A103:D103"/>
    <mergeCell ref="A93:D93"/>
    <mergeCell ref="A94:D94"/>
    <mergeCell ref="A95:D95"/>
    <mergeCell ref="A96:D96"/>
    <mergeCell ref="A97:D97"/>
    <mergeCell ref="A110:G110"/>
    <mergeCell ref="A111:D111"/>
    <mergeCell ref="A112:D112"/>
    <mergeCell ref="A113:D113"/>
    <mergeCell ref="A114:D114"/>
    <mergeCell ref="A104:D104"/>
    <mergeCell ref="A105:D105"/>
    <mergeCell ref="A106:D106"/>
    <mergeCell ref="A107:D107"/>
    <mergeCell ref="A108:D108"/>
    <mergeCell ref="B125:E125"/>
    <mergeCell ref="B126:E126"/>
    <mergeCell ref="A120:D120"/>
    <mergeCell ref="A122:D122"/>
    <mergeCell ref="A115:D115"/>
    <mergeCell ref="A116:D116"/>
    <mergeCell ref="A117:D117"/>
    <mergeCell ref="A118:D118"/>
    <mergeCell ref="A119:D11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6"/>
  <sheetViews>
    <sheetView workbookViewId="0">
      <selection activeCell="O18" sqref="O18"/>
    </sheetView>
  </sheetViews>
  <sheetFormatPr defaultRowHeight="15" x14ac:dyDescent="0.25"/>
  <cols>
    <col min="3" max="3" width="15.5703125" customWidth="1"/>
    <col min="4" max="4" width="42" customWidth="1"/>
    <col min="6" max="6" width="11.42578125" customWidth="1"/>
    <col min="8" max="8" width="3.28515625" customWidth="1"/>
    <col min="9" max="9" width="3.42578125" customWidth="1"/>
    <col min="13" max="13" width="14.28515625" customWidth="1"/>
    <col min="15" max="15" width="11.7109375" customWidth="1"/>
    <col min="16" max="16" width="40.85546875" customWidth="1"/>
  </cols>
  <sheetData>
    <row r="1" spans="1:17" x14ac:dyDescent="0.25">
      <c r="A1" s="19" t="s">
        <v>220</v>
      </c>
      <c r="B1" s="19"/>
      <c r="C1" s="19"/>
      <c r="D1" s="19"/>
      <c r="E1" s="19"/>
      <c r="F1" s="19"/>
      <c r="G1" s="19"/>
    </row>
    <row r="2" spans="1:17" x14ac:dyDescent="0.25">
      <c r="A2" s="19">
        <v>1</v>
      </c>
      <c r="B2" s="19"/>
      <c r="C2" s="19"/>
      <c r="D2" s="19"/>
      <c r="E2" s="19"/>
      <c r="F2" s="19"/>
      <c r="G2" s="19"/>
      <c r="J2" s="24" t="s">
        <v>229</v>
      </c>
      <c r="K2" s="24"/>
      <c r="L2" s="24"/>
      <c r="M2" s="24"/>
      <c r="N2" s="24"/>
      <c r="O2" s="24"/>
      <c r="P2" s="24"/>
    </row>
    <row r="3" spans="1:17" ht="18" customHeight="1" x14ac:dyDescent="0.35">
      <c r="A3" s="24" t="s">
        <v>222</v>
      </c>
      <c r="B3" s="24"/>
      <c r="C3" s="24"/>
      <c r="D3" s="24"/>
      <c r="E3" t="s">
        <v>224</v>
      </c>
      <c r="F3" s="3">
        <f>('Consumi vet energ.'!$F$19-'Spese e costi unitari'!$F$20)*('Ripart. u.i.'!L4/'Ripart. u.i.'!$L$49)</f>
        <v>1717.9043017757922</v>
      </c>
      <c r="G3" t="s">
        <v>30</v>
      </c>
      <c r="J3" s="22" t="s">
        <v>230</v>
      </c>
      <c r="K3" s="22"/>
      <c r="L3" s="22"/>
      <c r="M3" s="22"/>
      <c r="N3" s="27" t="s">
        <v>233</v>
      </c>
      <c r="O3" s="3"/>
    </row>
    <row r="4" spans="1:17" ht="18" x14ac:dyDescent="0.35">
      <c r="A4" s="28" t="s">
        <v>223</v>
      </c>
      <c r="B4" s="28"/>
      <c r="C4" s="28"/>
      <c r="D4" s="28"/>
      <c r="E4" t="s">
        <v>225</v>
      </c>
      <c r="F4">
        <f>('Ripart. u.i.'!M4)*$K$26*$K$27*($K$28-$K$29)</f>
        <v>1380.4559999999997</v>
      </c>
      <c r="G4" t="s">
        <v>30</v>
      </c>
      <c r="J4" s="22"/>
      <c r="K4" s="22"/>
      <c r="L4" s="22"/>
      <c r="M4" s="22"/>
      <c r="N4" s="27"/>
      <c r="O4" s="3">
        <f>F3+F6+F9+F12+F15+F18+F21+F24+F27+F30+F33+F36+F39+F42+F45+F48+F51+F54+F57+F60+F63+F66+F69+F72+F75+F78+F81+F84+F87+F90+F93+F96+F99+F102+F105+F108+F111+F114+F117+F120+F123+F126+F129+F132+F135</f>
        <v>121443.33545099998</v>
      </c>
      <c r="P4" t="s">
        <v>30</v>
      </c>
    </row>
    <row r="5" spans="1:17" x14ac:dyDescent="0.25">
      <c r="A5" s="19">
        <v>2</v>
      </c>
      <c r="B5" s="19"/>
      <c r="C5" s="19"/>
      <c r="D5" s="19"/>
      <c r="E5" s="19"/>
      <c r="F5" s="19"/>
      <c r="G5" s="19"/>
      <c r="J5" s="22"/>
      <c r="K5" s="22"/>
      <c r="L5" s="22"/>
      <c r="M5" s="22"/>
      <c r="N5" s="27"/>
    </row>
    <row r="6" spans="1:17" ht="18" x14ac:dyDescent="0.35">
      <c r="A6" s="24" t="s">
        <v>222</v>
      </c>
      <c r="B6" s="24"/>
      <c r="C6" s="24"/>
      <c r="D6" s="24"/>
      <c r="E6" t="s">
        <v>257</v>
      </c>
      <c r="F6" s="3">
        <f>('Consumi vet energ.'!$F$19-'Spese e costi unitari'!$F$20)*('Ripart. u.i.'!L5/'Ripart. u.i.'!$L$49)</f>
        <v>3209.1037401980452</v>
      </c>
      <c r="G6" t="s">
        <v>30</v>
      </c>
      <c r="J6" s="22" t="s">
        <v>231</v>
      </c>
      <c r="K6" s="22"/>
      <c r="L6" s="22"/>
      <c r="M6" s="22"/>
      <c r="N6" s="27" t="s">
        <v>234</v>
      </c>
    </row>
    <row r="7" spans="1:17" ht="18" x14ac:dyDescent="0.35">
      <c r="A7" s="24" t="s">
        <v>223</v>
      </c>
      <c r="B7" s="24"/>
      <c r="C7" s="24"/>
      <c r="D7" s="24"/>
      <c r="E7" t="s">
        <v>258</v>
      </c>
      <c r="F7">
        <f>('Ripart. u.i.'!M5)*$K$26*$K$27*($K$28-$K$29)</f>
        <v>881.95799999999986</v>
      </c>
      <c r="G7" t="s">
        <v>30</v>
      </c>
      <c r="J7" s="22"/>
      <c r="K7" s="22"/>
      <c r="L7" s="22"/>
      <c r="M7" s="22"/>
      <c r="N7" s="27"/>
      <c r="O7" s="3">
        <f>F4+F7+F10+F13+F16+F19+F22+F25+F28+F31+F34+F37+F40+F43+F46+F49+F52+F55+F58+F61+F64+F67+F70+F73+F76+F79+F82+F85+F88+F91+F94+F97+F100+F103+F106+F109+F112+F115+F118+F121+F124+F127+F130+F133+F136</f>
        <v>63347.591999999997</v>
      </c>
      <c r="P7" t="s">
        <v>30</v>
      </c>
    </row>
    <row r="8" spans="1:17" x14ac:dyDescent="0.25">
      <c r="A8" s="19">
        <v>3</v>
      </c>
      <c r="B8" s="19"/>
      <c r="C8" s="19"/>
      <c r="D8" s="19"/>
      <c r="E8" s="19"/>
      <c r="F8" s="19"/>
      <c r="G8" s="19"/>
      <c r="J8" s="22"/>
      <c r="K8" s="22"/>
      <c r="L8" s="22"/>
      <c r="M8" s="22"/>
      <c r="N8" s="27"/>
    </row>
    <row r="9" spans="1:17" ht="18" x14ac:dyDescent="0.35">
      <c r="A9" s="24" t="s">
        <v>222</v>
      </c>
      <c r="B9" s="24"/>
      <c r="C9" s="24"/>
      <c r="D9" s="24"/>
      <c r="E9" t="s">
        <v>259</v>
      </c>
      <c r="F9" s="3">
        <f>('Consumi vet energ.'!$F$19-'Spese e costi unitari'!$F$20)*('Ripart. u.i.'!L6/'Ripart. u.i.'!$L$49)</f>
        <v>1144.1614951068648</v>
      </c>
      <c r="G9" t="s">
        <v>30</v>
      </c>
      <c r="J9" s="22" t="s">
        <v>232</v>
      </c>
      <c r="K9" s="22"/>
      <c r="L9" s="22"/>
      <c r="M9" s="22"/>
      <c r="N9" s="27" t="s">
        <v>235</v>
      </c>
    </row>
    <row r="10" spans="1:17" ht="18" x14ac:dyDescent="0.35">
      <c r="A10" s="24" t="s">
        <v>223</v>
      </c>
      <c r="B10" s="24"/>
      <c r="C10" s="24"/>
      <c r="D10" s="24"/>
      <c r="E10" t="s">
        <v>260</v>
      </c>
      <c r="F10">
        <f>('Ripart. u.i.'!M6)*$K$26*$K$27*($K$28-$K$29)</f>
        <v>1150.3799999999997</v>
      </c>
      <c r="G10" t="s">
        <v>30</v>
      </c>
      <c r="J10" s="22"/>
      <c r="K10" s="22"/>
      <c r="L10" s="22"/>
      <c r="M10" s="22"/>
      <c r="N10" s="27"/>
      <c r="O10" s="3">
        <f>'Consumi vet energ.'!F20-O7</f>
        <v>25939.909149000006</v>
      </c>
      <c r="P10" t="s">
        <v>30</v>
      </c>
    </row>
    <row r="11" spans="1:17" x14ac:dyDescent="0.25">
      <c r="A11" s="19">
        <v>4</v>
      </c>
      <c r="B11" s="19"/>
      <c r="C11" s="19"/>
      <c r="D11" s="19"/>
      <c r="E11" s="19"/>
      <c r="F11" s="19"/>
      <c r="G11" s="19"/>
      <c r="N11" s="5"/>
    </row>
    <row r="12" spans="1:17" ht="18" x14ac:dyDescent="0.35">
      <c r="A12" s="24" t="s">
        <v>222</v>
      </c>
      <c r="B12" s="24"/>
      <c r="C12" s="24"/>
      <c r="D12" s="24"/>
      <c r="E12" t="s">
        <v>261</v>
      </c>
      <c r="F12" s="3">
        <f>('Consumi vet energ.'!$F$19-'Spese e costi unitari'!$F$20)*('Ripart. u.i.'!L7/'Ripart. u.i.'!$L$49)</f>
        <v>1482.8891428447776</v>
      </c>
      <c r="G12" t="s">
        <v>30</v>
      </c>
    </row>
    <row r="13" spans="1:17" ht="18" x14ac:dyDescent="0.35">
      <c r="A13" s="24" t="s">
        <v>223</v>
      </c>
      <c r="B13" s="24"/>
      <c r="C13" s="24"/>
      <c r="D13" s="24"/>
      <c r="E13" t="s">
        <v>262</v>
      </c>
      <c r="F13">
        <f>('Ripart. u.i.'!M7)*$K$26*$K$27*($K$28-$K$29)</f>
        <v>2185.7219999999998</v>
      </c>
      <c r="G13" t="s">
        <v>30</v>
      </c>
      <c r="J13" s="27" t="s">
        <v>236</v>
      </c>
      <c r="K13" s="27"/>
      <c r="L13" s="27"/>
      <c r="M13" s="27"/>
      <c r="N13" s="27"/>
      <c r="O13" s="27"/>
      <c r="P13" s="27"/>
    </row>
    <row r="14" spans="1:17" x14ac:dyDescent="0.25">
      <c r="A14" s="19">
        <v>5</v>
      </c>
      <c r="B14" s="19"/>
      <c r="C14" s="19"/>
      <c r="D14" s="19"/>
      <c r="E14" s="19"/>
      <c r="F14" s="19"/>
      <c r="G14" s="19"/>
      <c r="J14" s="22" t="s">
        <v>237</v>
      </c>
      <c r="K14" s="22"/>
      <c r="L14" s="22"/>
      <c r="M14" s="22"/>
      <c r="N14" s="27" t="s">
        <v>241</v>
      </c>
      <c r="O14" s="3"/>
    </row>
    <row r="15" spans="1:17" ht="18" x14ac:dyDescent="0.35">
      <c r="A15" s="24" t="s">
        <v>222</v>
      </c>
      <c r="B15" s="24"/>
      <c r="C15" s="24"/>
      <c r="D15" s="24"/>
      <c r="E15" t="s">
        <v>531</v>
      </c>
      <c r="F15" s="3">
        <f>('Consumi vet energ.'!$F$19-'Spese e costi unitari'!$F$20)*('Ripart. u.i.'!L8/'Ripart. u.i.'!$L$49)</f>
        <v>2193.2532088074067</v>
      </c>
      <c r="G15" t="s">
        <v>30</v>
      </c>
      <c r="J15" s="22"/>
      <c r="K15" s="22"/>
      <c r="L15" s="22"/>
      <c r="M15" s="22"/>
      <c r="N15" s="27"/>
      <c r="O15" s="3">
        <f>'Spese e costi unitari'!F16*O4</f>
        <v>14584.140935666135</v>
      </c>
      <c r="P15" t="s">
        <v>31</v>
      </c>
      <c r="Q15" s="3">
        <f>SUM(O15,O21)</f>
        <v>32141.983621281201</v>
      </c>
    </row>
    <row r="16" spans="1:17" ht="18" x14ac:dyDescent="0.35">
      <c r="A16" s="24" t="s">
        <v>223</v>
      </c>
      <c r="B16" s="24"/>
      <c r="C16" s="24"/>
      <c r="D16" s="24"/>
      <c r="E16" t="s">
        <v>532</v>
      </c>
      <c r="F16">
        <f>('Ripart. u.i.'!M8)*$K$26*$K$27*($K$28-$K$29)</f>
        <v>1878.954</v>
      </c>
      <c r="G16" t="s">
        <v>30</v>
      </c>
      <c r="J16" s="22"/>
      <c r="K16" s="22"/>
      <c r="L16" s="22"/>
      <c r="M16" s="22"/>
      <c r="N16" s="27"/>
    </row>
    <row r="17" spans="1:17" x14ac:dyDescent="0.25">
      <c r="A17" s="19">
        <v>6</v>
      </c>
      <c r="B17" s="19"/>
      <c r="C17" s="19"/>
      <c r="D17" s="19"/>
      <c r="E17" s="19"/>
      <c r="F17" s="19"/>
      <c r="G17" s="19"/>
      <c r="J17" s="22" t="s">
        <v>238</v>
      </c>
      <c r="K17" s="22"/>
      <c r="L17" s="22"/>
      <c r="M17" s="22"/>
      <c r="N17" s="27" t="s">
        <v>242</v>
      </c>
    </row>
    <row r="18" spans="1:17" ht="18" x14ac:dyDescent="0.35">
      <c r="A18" s="24" t="s">
        <v>222</v>
      </c>
      <c r="B18" s="24"/>
      <c r="C18" s="24"/>
      <c r="D18" s="24"/>
      <c r="E18" t="s">
        <v>533</v>
      </c>
      <c r="F18" s="3">
        <f>('Consumi vet energ.'!$F$19-'Spese e costi unitari'!$F$20)*('Ripart. u.i.'!L9/'Ripart. u.i.'!$L$49)</f>
        <v>1748.1537776778041</v>
      </c>
      <c r="G18" t="s">
        <v>30</v>
      </c>
      <c r="J18" s="22"/>
      <c r="K18" s="22"/>
      <c r="L18" s="22"/>
      <c r="M18" s="22"/>
      <c r="N18" s="27"/>
      <c r="O18" s="3">
        <f>'Spese e costi unitari'!F17*O7</f>
        <v>3636.4393387899177</v>
      </c>
      <c r="P18" t="s">
        <v>31</v>
      </c>
      <c r="Q18" s="3">
        <f>SUM(O18,O23)</f>
        <v>5991.5702747187988</v>
      </c>
    </row>
    <row r="19" spans="1:17" ht="18" x14ac:dyDescent="0.35">
      <c r="A19" s="24" t="s">
        <v>223</v>
      </c>
      <c r="B19" s="24"/>
      <c r="C19" s="24"/>
      <c r="D19" s="24"/>
      <c r="E19" t="s">
        <v>534</v>
      </c>
      <c r="F19">
        <f>('Ripart. u.i.'!M9)*$K$26*$K$27*($K$28-$K$29)</f>
        <v>1878.954</v>
      </c>
      <c r="G19" t="s">
        <v>30</v>
      </c>
      <c r="J19" s="22"/>
      <c r="K19" s="22"/>
      <c r="L19" s="22"/>
      <c r="M19" s="22"/>
      <c r="N19" s="27"/>
    </row>
    <row r="20" spans="1:17" x14ac:dyDescent="0.25">
      <c r="A20" s="19">
        <v>7</v>
      </c>
      <c r="B20" s="19"/>
      <c r="C20" s="19"/>
      <c r="D20" s="19"/>
      <c r="E20" s="19"/>
      <c r="F20" s="19"/>
      <c r="G20" s="19"/>
      <c r="J20" s="22" t="s">
        <v>239</v>
      </c>
      <c r="K20" s="22"/>
      <c r="L20" s="22"/>
      <c r="M20" s="22"/>
      <c r="N20" s="27" t="s">
        <v>18</v>
      </c>
    </row>
    <row r="21" spans="1:17" ht="18" x14ac:dyDescent="0.35">
      <c r="A21" s="24" t="s">
        <v>222</v>
      </c>
      <c r="B21" s="24"/>
      <c r="C21" s="24"/>
      <c r="D21" s="24"/>
      <c r="E21" t="s">
        <v>535</v>
      </c>
      <c r="F21" s="3">
        <f>('Consumi vet energ.'!$F$19-'Spese e costi unitari'!$F$20)*('Ripart. u.i.'!L10/'Ripart. u.i.'!$L$49)</f>
        <v>345.70829602299227</v>
      </c>
      <c r="G21" t="s">
        <v>30</v>
      </c>
      <c r="J21" s="22"/>
      <c r="K21" s="22"/>
      <c r="L21" s="22"/>
      <c r="M21" s="22"/>
      <c r="N21" s="27"/>
      <c r="O21" s="3">
        <f>('Spese e costi unitari'!F16*'Spese e costi unitari'!F20)+'Spese e costi unitari'!F7+'Spese e costi unitari'!F9</f>
        <v>17557.842685615065</v>
      </c>
      <c r="P21" t="s">
        <v>31</v>
      </c>
      <c r="Q21" s="3">
        <f>SUM(Q15:Q19)</f>
        <v>38133.553895999998</v>
      </c>
    </row>
    <row r="22" spans="1:17" ht="15" customHeight="1" x14ac:dyDescent="0.35">
      <c r="A22" s="24" t="s">
        <v>223</v>
      </c>
      <c r="B22" s="24"/>
      <c r="C22" s="24"/>
      <c r="D22" s="24"/>
      <c r="E22" t="s">
        <v>536</v>
      </c>
      <c r="F22">
        <f>('Ripart. u.i.'!M10)*$K$26*$K$27*($K$28-$K$29)</f>
        <v>0</v>
      </c>
      <c r="G22" t="s">
        <v>30</v>
      </c>
      <c r="J22" s="22" t="s">
        <v>240</v>
      </c>
      <c r="K22" s="22"/>
      <c r="L22" s="22"/>
      <c r="M22" s="22"/>
      <c r="N22" s="27" t="s">
        <v>243</v>
      </c>
    </row>
    <row r="23" spans="1:17" x14ac:dyDescent="0.25">
      <c r="A23" s="19">
        <v>8</v>
      </c>
      <c r="B23" s="19"/>
      <c r="C23" s="19"/>
      <c r="D23" s="19"/>
      <c r="E23" s="19"/>
      <c r="F23" s="19"/>
      <c r="G23" s="19"/>
      <c r="J23" s="22"/>
      <c r="K23" s="22"/>
      <c r="L23" s="22"/>
      <c r="M23" s="22"/>
      <c r="N23" s="27"/>
      <c r="O23" s="3">
        <f>('Spese e costi unitari'!F17*O10)+'Spese e costi unitari'!F8+'Spese e costi unitari'!F10</f>
        <v>2355.1309359288816</v>
      </c>
      <c r="P23" t="s">
        <v>31</v>
      </c>
    </row>
    <row r="24" spans="1:17" ht="18" x14ac:dyDescent="0.35">
      <c r="A24" s="24" t="s">
        <v>222</v>
      </c>
      <c r="B24" s="24"/>
      <c r="C24" s="24"/>
      <c r="D24" s="24"/>
      <c r="E24" t="s">
        <v>537</v>
      </c>
      <c r="F24" s="3">
        <f>('Consumi vet energ.'!$F$19-'Spese e costi unitari'!$F$20)*('Ripart. u.i.'!L11/'Ripart. u.i.'!$L$49)</f>
        <v>1024.8256506143127</v>
      </c>
      <c r="G24" t="s">
        <v>30</v>
      </c>
    </row>
    <row r="25" spans="1:17" ht="18" x14ac:dyDescent="0.35">
      <c r="A25" s="24" t="s">
        <v>223</v>
      </c>
      <c r="B25" s="24"/>
      <c r="C25" s="24"/>
      <c r="D25" s="24"/>
      <c r="E25" t="s">
        <v>538</v>
      </c>
      <c r="F25">
        <f>('Ripart. u.i.'!M11)*$K$26*$K$27*($K$28-$K$29)</f>
        <v>1572.1859999999999</v>
      </c>
      <c r="G25" t="s">
        <v>30</v>
      </c>
    </row>
    <row r="26" spans="1:17" x14ac:dyDescent="0.25">
      <c r="A26" s="19">
        <v>9</v>
      </c>
      <c r="B26" s="19"/>
      <c r="C26" s="19"/>
      <c r="D26" s="19"/>
      <c r="E26" s="19"/>
      <c r="F26" s="19"/>
      <c r="G26" s="19"/>
      <c r="J26" t="s">
        <v>545</v>
      </c>
      <c r="K26">
        <v>1000</v>
      </c>
      <c r="O26" s="3">
        <f>SUM(O15:O25)</f>
        <v>38133.553895999998</v>
      </c>
    </row>
    <row r="27" spans="1:17" ht="18" x14ac:dyDescent="0.35">
      <c r="A27" s="24" t="s">
        <v>222</v>
      </c>
      <c r="B27" s="24"/>
      <c r="C27" s="24"/>
      <c r="D27" s="24"/>
      <c r="E27" t="s">
        <v>539</v>
      </c>
      <c r="F27" s="3">
        <f>('Consumi vet energ.'!$F$19-'Spese e costi unitari'!$F$20)*('Ripart. u.i.'!L12/'Ripart. u.i.'!$L$49)</f>
        <v>2272.699634528075</v>
      </c>
      <c r="G27" t="s">
        <v>30</v>
      </c>
      <c r="J27" t="s">
        <v>543</v>
      </c>
      <c r="K27">
        <f>1.162*10^-3</f>
        <v>1.1619999999999998E-3</v>
      </c>
    </row>
    <row r="28" spans="1:17" ht="18" x14ac:dyDescent="0.35">
      <c r="A28" s="24" t="s">
        <v>223</v>
      </c>
      <c r="B28" s="24"/>
      <c r="C28" s="24"/>
      <c r="D28" s="24"/>
      <c r="E28" t="s">
        <v>540</v>
      </c>
      <c r="F28">
        <f>('Ripart. u.i.'!M12)*$K$26*$K$27*($K$28-$K$29)</f>
        <v>2147.3759999999997</v>
      </c>
      <c r="G28" t="s">
        <v>30</v>
      </c>
      <c r="J28" s="7" t="s">
        <v>544</v>
      </c>
      <c r="K28">
        <v>48</v>
      </c>
    </row>
    <row r="29" spans="1:17" ht="15.75" x14ac:dyDescent="0.25">
      <c r="A29" s="19">
        <v>10</v>
      </c>
      <c r="B29" s="19"/>
      <c r="C29" s="19"/>
      <c r="D29" s="19"/>
      <c r="E29" s="19"/>
      <c r="F29" s="19"/>
      <c r="G29" s="19"/>
      <c r="J29" s="7" t="s">
        <v>546</v>
      </c>
      <c r="K29">
        <v>15</v>
      </c>
    </row>
    <row r="30" spans="1:17" ht="18" x14ac:dyDescent="0.35">
      <c r="A30" s="24" t="s">
        <v>222</v>
      </c>
      <c r="B30" s="24"/>
      <c r="C30" s="24"/>
      <c r="D30" s="24"/>
      <c r="E30" t="s">
        <v>541</v>
      </c>
      <c r="F30" s="3">
        <f>('Consumi vet energ.'!$F$19-'Spese e costi unitari'!$F$20)*('Ripart. u.i.'!L13/'Ripart. u.i.'!$L$49)</f>
        <v>3867.279149934127</v>
      </c>
      <c r="G30" t="s">
        <v>30</v>
      </c>
    </row>
    <row r="31" spans="1:17" ht="18" x14ac:dyDescent="0.35">
      <c r="A31" s="24" t="s">
        <v>223</v>
      </c>
      <c r="B31" s="24"/>
      <c r="C31" s="24"/>
      <c r="D31" s="24"/>
      <c r="E31" t="s">
        <v>542</v>
      </c>
      <c r="F31">
        <f>('Ripart. u.i.'!M13)*$K$26*$K$27*($K$28-$K$29)</f>
        <v>498.49799999999993</v>
      </c>
      <c r="G31" t="s">
        <v>30</v>
      </c>
    </row>
    <row r="32" spans="1:17" x14ac:dyDescent="0.25">
      <c r="A32" s="19">
        <v>11</v>
      </c>
      <c r="B32" s="19"/>
      <c r="C32" s="19"/>
      <c r="D32" s="19"/>
      <c r="E32" s="19"/>
      <c r="F32" s="19"/>
      <c r="G32" s="19"/>
    </row>
    <row r="33" spans="1:21" ht="18" x14ac:dyDescent="0.35">
      <c r="A33" s="24" t="s">
        <v>222</v>
      </c>
      <c r="B33" s="24"/>
      <c r="C33" s="24"/>
      <c r="D33" s="24"/>
      <c r="E33" t="s">
        <v>224</v>
      </c>
      <c r="F33" s="3">
        <f>('Consumi vet energ.'!$F$19-'Spese e costi unitari'!$F$20)*('Ripart. u.i.'!L14/'Ripart. u.i.'!$L$49)</f>
        <v>8952.1828078800045</v>
      </c>
      <c r="G33" t="s">
        <v>30</v>
      </c>
      <c r="Q33" s="11"/>
      <c r="R33" s="23" t="s">
        <v>614</v>
      </c>
      <c r="S33" s="23"/>
      <c r="T33" s="23"/>
      <c r="U33" s="23"/>
    </row>
    <row r="34" spans="1:21" ht="18" x14ac:dyDescent="0.35">
      <c r="A34" s="28" t="s">
        <v>223</v>
      </c>
      <c r="B34" s="28"/>
      <c r="C34" s="28"/>
      <c r="D34" s="28"/>
      <c r="E34" t="s">
        <v>225</v>
      </c>
      <c r="F34">
        <f>('Ripart. u.i.'!M14)*$K$26*$K$27*($K$28-$K$29)</f>
        <v>2837.6039999999994</v>
      </c>
      <c r="G34" t="s">
        <v>30</v>
      </c>
      <c r="Q34" s="12"/>
      <c r="R34" s="23" t="s">
        <v>615</v>
      </c>
      <c r="S34" s="23"/>
      <c r="T34" s="23"/>
      <c r="U34" s="23"/>
    </row>
    <row r="35" spans="1:21" x14ac:dyDescent="0.25">
      <c r="A35" s="19">
        <v>12</v>
      </c>
      <c r="B35" s="19"/>
      <c r="C35" s="19"/>
      <c r="D35" s="19"/>
      <c r="E35" s="19"/>
      <c r="F35" s="19"/>
      <c r="G35" s="19"/>
    </row>
    <row r="36" spans="1:21" ht="18" x14ac:dyDescent="0.35">
      <c r="A36" s="24" t="s">
        <v>222</v>
      </c>
      <c r="B36" s="24"/>
      <c r="C36" s="24"/>
      <c r="D36" s="24"/>
      <c r="E36" t="s">
        <v>257</v>
      </c>
      <c r="F36" s="3">
        <f>('Consumi vet energ.'!$F$19-'Spese e costi unitari'!$F$20)*('Ripart. u.i.'!L15/'Ripart. u.i.'!$L$49)</f>
        <v>1019.8394732678271</v>
      </c>
      <c r="G36" t="s">
        <v>30</v>
      </c>
    </row>
    <row r="37" spans="1:21" ht="18" x14ac:dyDescent="0.35">
      <c r="A37" s="24" t="s">
        <v>223</v>
      </c>
      <c r="B37" s="24"/>
      <c r="C37" s="24"/>
      <c r="D37" s="24"/>
      <c r="E37" t="s">
        <v>258</v>
      </c>
      <c r="F37">
        <f>('Ripart. u.i.'!M15)*$K$26*$K$27*($K$28-$K$29)</f>
        <v>1035.3419999999999</v>
      </c>
      <c r="G37" t="s">
        <v>30</v>
      </c>
    </row>
    <row r="38" spans="1:21" x14ac:dyDescent="0.25">
      <c r="A38" s="19">
        <v>13</v>
      </c>
      <c r="B38" s="19"/>
      <c r="C38" s="19"/>
      <c r="D38" s="19"/>
      <c r="E38" s="19"/>
      <c r="F38" s="19"/>
      <c r="G38" s="19"/>
    </row>
    <row r="39" spans="1:21" ht="18" x14ac:dyDescent="0.35">
      <c r="A39" s="24" t="s">
        <v>222</v>
      </c>
      <c r="B39" s="24"/>
      <c r="C39" s="24"/>
      <c r="D39" s="24"/>
      <c r="E39" t="s">
        <v>259</v>
      </c>
      <c r="F39" s="3">
        <f>('Consumi vet energ.'!$F$19-'Spese e costi unitari'!$F$20)*('Ripart. u.i.'!L16/'Ripart. u.i.'!$L$49)</f>
        <v>718.674361540105</v>
      </c>
      <c r="G39" t="s">
        <v>30</v>
      </c>
    </row>
    <row r="40" spans="1:21" ht="18" x14ac:dyDescent="0.35">
      <c r="A40" s="24" t="s">
        <v>223</v>
      </c>
      <c r="B40" s="24"/>
      <c r="C40" s="24"/>
      <c r="D40" s="24"/>
      <c r="E40" t="s">
        <v>260</v>
      </c>
      <c r="F40">
        <f>('Ripart. u.i.'!M16)*$K$26*$K$27*($K$28-$K$29)</f>
        <v>115.03799999999998</v>
      </c>
      <c r="G40" t="s">
        <v>30</v>
      </c>
    </row>
    <row r="41" spans="1:21" x14ac:dyDescent="0.25">
      <c r="A41" s="19">
        <v>14</v>
      </c>
      <c r="B41" s="19"/>
      <c r="C41" s="19"/>
      <c r="D41" s="19"/>
      <c r="E41" s="19"/>
      <c r="F41" s="19"/>
      <c r="G41" s="19"/>
    </row>
    <row r="42" spans="1:21" ht="18" x14ac:dyDescent="0.35">
      <c r="A42" s="24" t="s">
        <v>222</v>
      </c>
      <c r="B42" s="24"/>
      <c r="C42" s="24"/>
      <c r="D42" s="24"/>
      <c r="E42" t="s">
        <v>261</v>
      </c>
      <c r="F42" s="3">
        <f>('Consumi vet energ.'!$F$19-'Spese e costi unitari'!$F$20)*('Ripart. u.i.'!L17/'Ripart. u.i.'!$L$49)</f>
        <v>5664.9622892536863</v>
      </c>
      <c r="G42" t="s">
        <v>30</v>
      </c>
    </row>
    <row r="43" spans="1:21" ht="18" x14ac:dyDescent="0.35">
      <c r="A43" s="24" t="s">
        <v>223</v>
      </c>
      <c r="B43" s="24"/>
      <c r="C43" s="24"/>
      <c r="D43" s="24"/>
      <c r="E43" t="s">
        <v>262</v>
      </c>
      <c r="F43">
        <f>('Ripart. u.i.'!M17)*$K$26*$K$27*($K$28-$K$29)</f>
        <v>3681.2159999999994</v>
      </c>
      <c r="G43" t="s">
        <v>30</v>
      </c>
    </row>
    <row r="44" spans="1:21" x14ac:dyDescent="0.25">
      <c r="A44" s="19">
        <v>15</v>
      </c>
      <c r="B44" s="19"/>
      <c r="C44" s="19"/>
      <c r="D44" s="19"/>
      <c r="E44" s="19"/>
      <c r="F44" s="19"/>
      <c r="G44" s="19"/>
    </row>
    <row r="45" spans="1:21" ht="18" x14ac:dyDescent="0.35">
      <c r="A45" s="24" t="s">
        <v>222</v>
      </c>
      <c r="B45" s="24"/>
      <c r="C45" s="24"/>
      <c r="D45" s="24"/>
      <c r="E45" t="s">
        <v>531</v>
      </c>
      <c r="F45" s="3">
        <f>('Consumi vet energ.'!$F$19-'Spese e costi unitari'!$F$20)*('Ripart. u.i.'!L18/'Ripart. u.i.'!$L$49)</f>
        <v>2304.2787577224831</v>
      </c>
      <c r="G45" t="s">
        <v>30</v>
      </c>
    </row>
    <row r="46" spans="1:21" ht="18" x14ac:dyDescent="0.35">
      <c r="A46" s="24" t="s">
        <v>223</v>
      </c>
      <c r="B46" s="24"/>
      <c r="C46" s="24"/>
      <c r="D46" s="24"/>
      <c r="E46" t="s">
        <v>532</v>
      </c>
      <c r="F46">
        <f>('Ripart. u.i.'!M18)*$K$26*$K$27*($K$28-$K$29)</f>
        <v>1840.6079999999997</v>
      </c>
      <c r="G46" t="s">
        <v>30</v>
      </c>
    </row>
    <row r="47" spans="1:21" x14ac:dyDescent="0.25">
      <c r="A47" s="19">
        <v>16</v>
      </c>
      <c r="B47" s="19"/>
      <c r="C47" s="19"/>
      <c r="D47" s="19"/>
      <c r="E47" s="19"/>
      <c r="F47" s="19"/>
      <c r="G47" s="19"/>
    </row>
    <row r="48" spans="1:21" ht="18" x14ac:dyDescent="0.35">
      <c r="A48" s="24" t="s">
        <v>222</v>
      </c>
      <c r="B48" s="24"/>
      <c r="C48" s="24"/>
      <c r="D48" s="24"/>
      <c r="E48" t="s">
        <v>533</v>
      </c>
      <c r="F48" s="3">
        <f>('Consumi vet energ.'!$F$19-'Spese e costi unitari'!$F$20)*('Ripart. u.i.'!L19/'Ripart. u.i.'!$L$49)</f>
        <v>3993.595642711759</v>
      </c>
      <c r="G48" t="s">
        <v>30</v>
      </c>
    </row>
    <row r="49" spans="1:7" ht="18" x14ac:dyDescent="0.35">
      <c r="A49" s="24" t="s">
        <v>223</v>
      </c>
      <c r="B49" s="24"/>
      <c r="C49" s="24"/>
      <c r="D49" s="24"/>
      <c r="E49" t="s">
        <v>534</v>
      </c>
      <c r="F49">
        <f>('Ripart. u.i.'!M19)*$K$26*$K$27*($K$28-$K$29)</f>
        <v>2607.5279999999998</v>
      </c>
      <c r="G49" t="s">
        <v>30</v>
      </c>
    </row>
    <row r="50" spans="1:7" x14ac:dyDescent="0.25">
      <c r="A50" s="19">
        <v>17</v>
      </c>
      <c r="B50" s="19"/>
      <c r="C50" s="19"/>
      <c r="D50" s="19"/>
      <c r="E50" s="19"/>
      <c r="F50" s="19"/>
      <c r="G50" s="19"/>
    </row>
    <row r="51" spans="1:7" ht="18" x14ac:dyDescent="0.35">
      <c r="A51" s="24" t="s">
        <v>222</v>
      </c>
      <c r="B51" s="24"/>
      <c r="C51" s="24"/>
      <c r="D51" s="24"/>
      <c r="E51" t="s">
        <v>535</v>
      </c>
      <c r="F51" s="3">
        <f>('Consumi vet energ.'!$F$19-'Spese e costi unitari'!$F$20)*('Ripart. u.i.'!L20/'Ripart. u.i.'!$L$49)</f>
        <v>352.02412066187389</v>
      </c>
      <c r="G51" t="s">
        <v>30</v>
      </c>
    </row>
    <row r="52" spans="1:7" ht="18" x14ac:dyDescent="0.35">
      <c r="A52" s="24" t="s">
        <v>223</v>
      </c>
      <c r="B52" s="24"/>
      <c r="C52" s="24"/>
      <c r="D52" s="24"/>
      <c r="E52" t="s">
        <v>536</v>
      </c>
      <c r="F52">
        <f>('Ripart. u.i.'!M20)*$K$26*$K$27*($K$28-$K$29)</f>
        <v>0</v>
      </c>
      <c r="G52" t="s">
        <v>30</v>
      </c>
    </row>
    <row r="53" spans="1:7" x14ac:dyDescent="0.25">
      <c r="A53" s="19">
        <v>18</v>
      </c>
      <c r="B53" s="19"/>
      <c r="C53" s="19"/>
      <c r="D53" s="19"/>
      <c r="E53" s="19"/>
      <c r="F53" s="19"/>
      <c r="G53" s="19"/>
    </row>
    <row r="54" spans="1:7" ht="18" x14ac:dyDescent="0.35">
      <c r="A54" s="24" t="s">
        <v>222</v>
      </c>
      <c r="B54" s="24"/>
      <c r="C54" s="24"/>
      <c r="D54" s="24"/>
      <c r="E54" t="s">
        <v>537</v>
      </c>
      <c r="F54" s="3">
        <f>('Consumi vet energ.'!$F$19-'Spese e costi unitari'!$F$20)*('Ripart. u.i.'!L21/'Ripart. u.i.'!$L$49)</f>
        <v>1026.8201215529068</v>
      </c>
      <c r="G54" t="s">
        <v>30</v>
      </c>
    </row>
    <row r="55" spans="1:7" ht="18" x14ac:dyDescent="0.35">
      <c r="A55" s="24" t="s">
        <v>223</v>
      </c>
      <c r="B55" s="24"/>
      <c r="C55" s="24"/>
      <c r="D55" s="24"/>
      <c r="E55" t="s">
        <v>538</v>
      </c>
      <c r="F55">
        <f>('Ripart. u.i.'!M21)*$K$26*$K$27*($K$28-$K$29)</f>
        <v>383.46</v>
      </c>
      <c r="G55" t="s">
        <v>30</v>
      </c>
    </row>
    <row r="56" spans="1:7" x14ac:dyDescent="0.25">
      <c r="A56" s="19">
        <v>19</v>
      </c>
      <c r="B56" s="19"/>
      <c r="C56" s="19"/>
      <c r="D56" s="19"/>
      <c r="E56" s="19"/>
      <c r="F56" s="19"/>
      <c r="G56" s="19"/>
    </row>
    <row r="57" spans="1:7" ht="18" x14ac:dyDescent="0.35">
      <c r="A57" s="24" t="s">
        <v>222</v>
      </c>
      <c r="B57" s="24"/>
      <c r="C57" s="24"/>
      <c r="D57" s="24"/>
      <c r="E57" t="s">
        <v>539</v>
      </c>
      <c r="F57" s="3">
        <f>('Consumi vet energ.'!$F$19-'Spese e costi unitari'!$F$20)*('Ripart. u.i.'!L22/'Ripart. u.i.'!$L$49)</f>
        <v>2636.6905808215142</v>
      </c>
      <c r="G57" t="s">
        <v>30</v>
      </c>
    </row>
    <row r="58" spans="1:7" ht="18" x14ac:dyDescent="0.35">
      <c r="A58" s="24" t="s">
        <v>223</v>
      </c>
      <c r="B58" s="24"/>
      <c r="C58" s="24"/>
      <c r="D58" s="24"/>
      <c r="E58" t="s">
        <v>540</v>
      </c>
      <c r="F58">
        <f>('Ripart. u.i.'!M22)*$K$26*$K$27*($K$28-$K$29)</f>
        <v>2032.3379999999997</v>
      </c>
      <c r="G58" t="s">
        <v>30</v>
      </c>
    </row>
    <row r="59" spans="1:7" x14ac:dyDescent="0.25">
      <c r="A59" s="19">
        <v>20</v>
      </c>
      <c r="B59" s="19"/>
      <c r="C59" s="19"/>
      <c r="D59" s="19"/>
      <c r="E59" s="19"/>
      <c r="F59" s="19"/>
      <c r="G59" s="19"/>
    </row>
    <row r="60" spans="1:7" ht="18" x14ac:dyDescent="0.35">
      <c r="A60" s="24" t="s">
        <v>222</v>
      </c>
      <c r="B60" s="24"/>
      <c r="C60" s="24"/>
      <c r="D60" s="24"/>
      <c r="E60" t="s">
        <v>541</v>
      </c>
      <c r="F60" s="3">
        <f>('Consumi vet energ.'!$F$19-'Spese e costi unitari'!$F$20)*('Ripart. u.i.'!L23/'Ripart. u.i.'!$L$49)</f>
        <v>1735.85454022314</v>
      </c>
      <c r="G60" t="s">
        <v>30</v>
      </c>
    </row>
    <row r="61" spans="1:7" ht="18" x14ac:dyDescent="0.35">
      <c r="A61" s="24" t="s">
        <v>223</v>
      </c>
      <c r="B61" s="24"/>
      <c r="C61" s="24"/>
      <c r="D61" s="24"/>
      <c r="E61" t="s">
        <v>542</v>
      </c>
      <c r="F61">
        <f>('Ripart. u.i.'!M23)*$K$26*$K$27*($K$28-$K$29)</f>
        <v>0</v>
      </c>
      <c r="G61" t="s">
        <v>30</v>
      </c>
    </row>
    <row r="62" spans="1:7" x14ac:dyDescent="0.25">
      <c r="A62" s="19">
        <v>21</v>
      </c>
      <c r="B62" s="19"/>
      <c r="C62" s="19"/>
      <c r="D62" s="19"/>
      <c r="E62" s="19"/>
      <c r="F62" s="19"/>
      <c r="G62" s="19"/>
    </row>
    <row r="63" spans="1:7" ht="18" x14ac:dyDescent="0.35">
      <c r="A63" s="24" t="s">
        <v>222</v>
      </c>
      <c r="B63" s="24"/>
      <c r="C63" s="24"/>
      <c r="D63" s="24"/>
      <c r="E63" t="s">
        <v>224</v>
      </c>
      <c r="F63" s="3">
        <f>('Consumi vet energ.'!$F$19-'Spese e costi unitari'!$F$20)*('Ripart. u.i.'!L24/'Ripart. u.i.'!$L$49)</f>
        <v>993.57893924300367</v>
      </c>
      <c r="G63" t="s">
        <v>30</v>
      </c>
    </row>
    <row r="64" spans="1:7" ht="18" x14ac:dyDescent="0.35">
      <c r="A64" s="28" t="s">
        <v>223</v>
      </c>
      <c r="B64" s="28"/>
      <c r="C64" s="28"/>
      <c r="D64" s="28"/>
      <c r="E64" t="s">
        <v>225</v>
      </c>
      <c r="F64">
        <f>('Ripart. u.i.'!M24)*$K$26*$K$27*($K$28-$K$29)</f>
        <v>38.345999999999997</v>
      </c>
      <c r="G64" t="s">
        <v>30</v>
      </c>
    </row>
    <row r="65" spans="1:7" x14ac:dyDescent="0.25">
      <c r="A65" s="19">
        <v>22</v>
      </c>
      <c r="B65" s="19"/>
      <c r="C65" s="19"/>
      <c r="D65" s="19"/>
      <c r="E65" s="19"/>
      <c r="F65" s="19"/>
      <c r="G65" s="19"/>
    </row>
    <row r="66" spans="1:7" ht="18" x14ac:dyDescent="0.35">
      <c r="A66" s="24" t="s">
        <v>222</v>
      </c>
      <c r="B66" s="24"/>
      <c r="C66" s="24"/>
      <c r="D66" s="24"/>
      <c r="E66" t="s">
        <v>257</v>
      </c>
      <c r="F66" s="3">
        <f>('Consumi vet energ.'!$F$19-'Spese e costi unitari'!$F$20)*('Ripart. u.i.'!L25/'Ripart. u.i.'!$L$49)</f>
        <v>750.9183083807111</v>
      </c>
      <c r="G66" t="s">
        <v>30</v>
      </c>
    </row>
    <row r="67" spans="1:7" ht="18" x14ac:dyDescent="0.35">
      <c r="A67" s="24" t="s">
        <v>223</v>
      </c>
      <c r="B67" s="24"/>
      <c r="C67" s="24"/>
      <c r="D67" s="24"/>
      <c r="E67" t="s">
        <v>258</v>
      </c>
      <c r="F67">
        <f>('Ripart. u.i.'!M25)*$K$26*$K$27*($K$28-$K$29)</f>
        <v>76.691999999999993</v>
      </c>
      <c r="G67" t="s">
        <v>30</v>
      </c>
    </row>
    <row r="68" spans="1:7" x14ac:dyDescent="0.25">
      <c r="A68" s="19">
        <v>23</v>
      </c>
      <c r="B68" s="19"/>
      <c r="C68" s="19"/>
      <c r="D68" s="19"/>
      <c r="E68" s="19"/>
      <c r="F68" s="19"/>
      <c r="G68" s="19"/>
    </row>
    <row r="69" spans="1:7" ht="18" x14ac:dyDescent="0.35">
      <c r="A69" s="24" t="s">
        <v>222</v>
      </c>
      <c r="B69" s="24"/>
      <c r="C69" s="24"/>
      <c r="D69" s="24"/>
      <c r="E69" t="s">
        <v>259</v>
      </c>
      <c r="F69" s="3">
        <f>('Consumi vet energ.'!$F$19-'Spese e costi unitari'!$F$20)*('Ripart. u.i.'!L26/'Ripart. u.i.'!$L$49)</f>
        <v>3103.0643686294543</v>
      </c>
      <c r="G69" t="s">
        <v>30</v>
      </c>
    </row>
    <row r="70" spans="1:7" ht="18" x14ac:dyDescent="0.35">
      <c r="A70" s="24" t="s">
        <v>223</v>
      </c>
      <c r="B70" s="24"/>
      <c r="C70" s="24"/>
      <c r="D70" s="24"/>
      <c r="E70" t="s">
        <v>260</v>
      </c>
      <c r="F70">
        <f>('Ripart. u.i.'!M26)*$K$26*$K$27*($K$28-$K$29)</f>
        <v>3681.2159999999994</v>
      </c>
      <c r="G70" t="s">
        <v>30</v>
      </c>
    </row>
    <row r="71" spans="1:7" x14ac:dyDescent="0.25">
      <c r="A71" s="19">
        <v>24</v>
      </c>
      <c r="B71" s="19"/>
      <c r="C71" s="19"/>
      <c r="D71" s="19"/>
      <c r="E71" s="19"/>
      <c r="F71" s="19"/>
      <c r="G71" s="19"/>
    </row>
    <row r="72" spans="1:7" ht="18" x14ac:dyDescent="0.35">
      <c r="A72" s="24" t="s">
        <v>222</v>
      </c>
      <c r="B72" s="24"/>
      <c r="C72" s="24"/>
      <c r="D72" s="24"/>
      <c r="E72" t="s">
        <v>261</v>
      </c>
      <c r="F72" s="3">
        <f>('Consumi vet energ.'!$F$19-'Spese e costi unitari'!$F$20)*('Ripart. u.i.'!L27/'Ripart. u.i.'!$L$49)</f>
        <v>1873.1406231630399</v>
      </c>
      <c r="G72" t="s">
        <v>30</v>
      </c>
    </row>
    <row r="73" spans="1:7" ht="18" x14ac:dyDescent="0.35">
      <c r="A73" s="24" t="s">
        <v>223</v>
      </c>
      <c r="B73" s="24"/>
      <c r="C73" s="24"/>
      <c r="D73" s="24"/>
      <c r="E73" t="s">
        <v>262</v>
      </c>
      <c r="F73">
        <f>('Ripart. u.i.'!M27)*$K$26*$K$27*($K$28-$K$29)</f>
        <v>421.80599999999993</v>
      </c>
      <c r="G73" t="s">
        <v>30</v>
      </c>
    </row>
    <row r="74" spans="1:7" x14ac:dyDescent="0.25">
      <c r="A74" s="19">
        <v>25</v>
      </c>
      <c r="B74" s="19"/>
      <c r="C74" s="19"/>
      <c r="D74" s="19"/>
      <c r="E74" s="19"/>
      <c r="F74" s="19"/>
      <c r="G74" s="19"/>
    </row>
    <row r="75" spans="1:7" ht="18" x14ac:dyDescent="0.35">
      <c r="A75" s="24" t="s">
        <v>222</v>
      </c>
      <c r="B75" s="24"/>
      <c r="C75" s="24"/>
      <c r="D75" s="24"/>
      <c r="E75" t="s">
        <v>531</v>
      </c>
      <c r="F75" s="3">
        <f>('Consumi vet energ.'!$F$19-'Spese e costi unitari'!$F$20)*('Ripart. u.i.'!L28/'Ripart. u.i.'!$L$49)</f>
        <v>6583.416156476309</v>
      </c>
      <c r="G75" t="s">
        <v>30</v>
      </c>
    </row>
    <row r="76" spans="1:7" ht="18" x14ac:dyDescent="0.35">
      <c r="A76" s="24" t="s">
        <v>223</v>
      </c>
      <c r="B76" s="24"/>
      <c r="C76" s="24"/>
      <c r="D76" s="24"/>
      <c r="E76" t="s">
        <v>532</v>
      </c>
      <c r="F76">
        <f>('Ripart. u.i.'!M28)*$K$26*$K$27*($K$28-$K$29)</f>
        <v>2300.7599999999993</v>
      </c>
      <c r="G76" t="s">
        <v>30</v>
      </c>
    </row>
    <row r="77" spans="1:7" x14ac:dyDescent="0.25">
      <c r="A77" s="19">
        <v>26</v>
      </c>
      <c r="B77" s="19"/>
      <c r="C77" s="19"/>
      <c r="D77" s="19"/>
      <c r="E77" s="19"/>
      <c r="F77" s="19"/>
      <c r="G77" s="19"/>
    </row>
    <row r="78" spans="1:7" ht="18" x14ac:dyDescent="0.35">
      <c r="A78" s="24" t="s">
        <v>222</v>
      </c>
      <c r="B78" s="24"/>
      <c r="C78" s="24"/>
      <c r="D78" s="24"/>
      <c r="E78" t="s">
        <v>533</v>
      </c>
      <c r="F78" s="3">
        <f>('Consumi vet energ.'!$F$19-'Spese e costi unitari'!$F$20)*('Ripart. u.i.'!L29/'Ripart. u.i.'!$L$49)</f>
        <v>2711.483241018796</v>
      </c>
      <c r="G78" t="s">
        <v>30</v>
      </c>
    </row>
    <row r="79" spans="1:7" ht="18" x14ac:dyDescent="0.35">
      <c r="A79" s="24" t="s">
        <v>223</v>
      </c>
      <c r="B79" s="24"/>
      <c r="C79" s="24"/>
      <c r="D79" s="24"/>
      <c r="E79" t="s">
        <v>534</v>
      </c>
      <c r="F79">
        <f>('Ripart. u.i.'!M29)*$K$26*$K$27*($K$28-$K$29)</f>
        <v>728.57399999999984</v>
      </c>
      <c r="G79" t="s">
        <v>30</v>
      </c>
    </row>
    <row r="80" spans="1:7" x14ac:dyDescent="0.25">
      <c r="A80" s="19">
        <v>27</v>
      </c>
      <c r="B80" s="19"/>
      <c r="C80" s="19"/>
      <c r="D80" s="19"/>
      <c r="E80" s="19"/>
      <c r="F80" s="19"/>
      <c r="G80" s="19"/>
    </row>
    <row r="81" spans="1:7" ht="18" x14ac:dyDescent="0.35">
      <c r="A81" s="24" t="s">
        <v>222</v>
      </c>
      <c r="B81" s="24"/>
      <c r="C81" s="24"/>
      <c r="D81" s="24"/>
      <c r="E81" t="s">
        <v>535</v>
      </c>
      <c r="F81" s="3">
        <f>('Consumi vet energ.'!$F$19-'Spese e costi unitari'!$F$20)*('Ripart. u.i.'!L30/'Ripart. u.i.'!$L$49)</f>
        <v>2743.7271878594024</v>
      </c>
      <c r="G81" t="s">
        <v>30</v>
      </c>
    </row>
    <row r="82" spans="1:7" ht="18" x14ac:dyDescent="0.35">
      <c r="A82" s="24" t="s">
        <v>223</v>
      </c>
      <c r="B82" s="24"/>
      <c r="C82" s="24"/>
      <c r="D82" s="24"/>
      <c r="E82" t="s">
        <v>536</v>
      </c>
      <c r="F82">
        <f>('Ripart. u.i.'!M30)*$K$26*$K$27*($K$28-$K$29)</f>
        <v>345.11399999999992</v>
      </c>
      <c r="G82" t="s">
        <v>30</v>
      </c>
    </row>
    <row r="83" spans="1:7" x14ac:dyDescent="0.25">
      <c r="A83" s="19">
        <v>28</v>
      </c>
      <c r="B83" s="19"/>
      <c r="C83" s="19"/>
      <c r="D83" s="19"/>
      <c r="E83" s="19"/>
      <c r="F83" s="19"/>
      <c r="G83" s="19"/>
    </row>
    <row r="84" spans="1:7" ht="18" x14ac:dyDescent="0.35">
      <c r="A84" s="24" t="s">
        <v>222</v>
      </c>
      <c r="B84" s="24"/>
      <c r="C84" s="24"/>
      <c r="D84" s="24"/>
      <c r="E84" t="s">
        <v>537</v>
      </c>
      <c r="F84" s="3">
        <f>('Consumi vet energ.'!$F$19-'Spese e costi unitari'!$F$20)*('Ripart. u.i.'!L31/'Ripart. u.i.'!$L$49)</f>
        <v>2302.284286783889</v>
      </c>
      <c r="G84" t="s">
        <v>30</v>
      </c>
    </row>
    <row r="85" spans="1:7" ht="18" x14ac:dyDescent="0.35">
      <c r="A85" s="24" t="s">
        <v>223</v>
      </c>
      <c r="B85" s="24"/>
      <c r="C85" s="24"/>
      <c r="D85" s="24"/>
      <c r="E85" t="s">
        <v>538</v>
      </c>
      <c r="F85">
        <f>('Ripart. u.i.'!M31)*$K$26*$K$27*($K$28-$K$29)</f>
        <v>3067.68</v>
      </c>
      <c r="G85" t="s">
        <v>30</v>
      </c>
    </row>
    <row r="86" spans="1:7" x14ac:dyDescent="0.25">
      <c r="A86" s="19">
        <v>29</v>
      </c>
      <c r="B86" s="19"/>
      <c r="C86" s="19"/>
      <c r="D86" s="19"/>
      <c r="E86" s="19"/>
      <c r="F86" s="19"/>
      <c r="G86" s="19"/>
    </row>
    <row r="87" spans="1:7" ht="18" x14ac:dyDescent="0.35">
      <c r="A87" s="24" t="s">
        <v>222</v>
      </c>
      <c r="B87" s="24"/>
      <c r="C87" s="24"/>
      <c r="D87" s="24"/>
      <c r="E87" t="s">
        <v>539</v>
      </c>
      <c r="F87" s="3">
        <f>('Consumi vet energ.'!$F$19-'Spese e costi unitari'!$F$20)*('Ripart. u.i.'!L32/'Ripart. u.i.'!$L$49)</f>
        <v>6318.1515216432826</v>
      </c>
      <c r="G87" t="s">
        <v>30</v>
      </c>
    </row>
    <row r="88" spans="1:7" ht="18" x14ac:dyDescent="0.35">
      <c r="A88" s="24" t="s">
        <v>223</v>
      </c>
      <c r="B88" s="24"/>
      <c r="C88" s="24"/>
      <c r="D88" s="24"/>
      <c r="E88" t="s">
        <v>540</v>
      </c>
      <c r="F88">
        <f>('Ripart. u.i.'!M32)*$K$26*$K$27*($K$28-$K$29)</f>
        <v>575.18999999999983</v>
      </c>
      <c r="G88" t="s">
        <v>30</v>
      </c>
    </row>
    <row r="89" spans="1:7" x14ac:dyDescent="0.25">
      <c r="A89" s="19">
        <v>30</v>
      </c>
      <c r="B89" s="19"/>
      <c r="C89" s="19"/>
      <c r="D89" s="19"/>
      <c r="E89" s="19"/>
      <c r="F89" s="19"/>
      <c r="G89" s="19"/>
    </row>
    <row r="90" spans="1:7" ht="18" x14ac:dyDescent="0.35">
      <c r="A90" s="24" t="s">
        <v>222</v>
      </c>
      <c r="B90" s="24"/>
      <c r="C90" s="24"/>
      <c r="D90" s="24"/>
      <c r="E90" t="s">
        <v>541</v>
      </c>
      <c r="F90" s="3">
        <f>('Consumi vet energ.'!$F$19-'Spese e costi unitari'!$F$20)*('Ripart. u.i.'!L33/'Ripart. u.i.'!$L$49)</f>
        <v>1496.5180275918376</v>
      </c>
      <c r="G90" t="s">
        <v>30</v>
      </c>
    </row>
    <row r="91" spans="1:7" ht="18" x14ac:dyDescent="0.35">
      <c r="A91" s="24" t="s">
        <v>223</v>
      </c>
      <c r="B91" s="24"/>
      <c r="C91" s="24"/>
      <c r="D91" s="24"/>
      <c r="E91" t="s">
        <v>542</v>
      </c>
      <c r="F91">
        <f>('Ripart. u.i.'!M33)*$K$26*$K$27*($K$28-$K$29)</f>
        <v>230.07599999999996</v>
      </c>
      <c r="G91" t="s">
        <v>30</v>
      </c>
    </row>
    <row r="92" spans="1:7" x14ac:dyDescent="0.25">
      <c r="A92" s="19">
        <v>31</v>
      </c>
      <c r="B92" s="19"/>
      <c r="C92" s="19"/>
      <c r="D92" s="19"/>
      <c r="E92" s="19"/>
      <c r="F92" s="19"/>
      <c r="G92" s="19"/>
    </row>
    <row r="93" spans="1:7" ht="18" x14ac:dyDescent="0.35">
      <c r="A93" s="24" t="s">
        <v>222</v>
      </c>
      <c r="B93" s="24"/>
      <c r="C93" s="24"/>
      <c r="D93" s="24"/>
      <c r="E93" t="s">
        <v>224</v>
      </c>
      <c r="F93" s="3">
        <f>('Consumi vet energ.'!$F$19-'Spese e costi unitari'!$F$20)*('Ripart. u.i.'!L34/'Ripart. u.i.'!$L$49)</f>
        <v>5587.1779226485132</v>
      </c>
      <c r="G93" t="s">
        <v>30</v>
      </c>
    </row>
    <row r="94" spans="1:7" ht="18" x14ac:dyDescent="0.35">
      <c r="A94" s="28" t="s">
        <v>223</v>
      </c>
      <c r="B94" s="28"/>
      <c r="C94" s="28"/>
      <c r="D94" s="28"/>
      <c r="E94" t="s">
        <v>225</v>
      </c>
      <c r="F94">
        <f>('Ripart. u.i.'!M34)*$K$26*$K$27*($K$28-$K$29)</f>
        <v>3911.2919999999995</v>
      </c>
      <c r="G94" t="s">
        <v>30</v>
      </c>
    </row>
    <row r="95" spans="1:7" x14ac:dyDescent="0.25">
      <c r="A95" s="19">
        <v>32</v>
      </c>
      <c r="B95" s="19"/>
      <c r="C95" s="19"/>
      <c r="D95" s="19"/>
      <c r="E95" s="19"/>
      <c r="F95" s="19"/>
      <c r="G95" s="19"/>
    </row>
    <row r="96" spans="1:7" ht="18" x14ac:dyDescent="0.35">
      <c r="A96" s="24" t="s">
        <v>222</v>
      </c>
      <c r="B96" s="24"/>
      <c r="C96" s="24"/>
      <c r="D96" s="24"/>
      <c r="E96" t="s">
        <v>257</v>
      </c>
      <c r="F96" s="3">
        <f>('Consumi vet energ.'!$F$19-'Spese e costi unitari'!$F$20)*('Ripart. u.i.'!L35/'Ripart. u.i.'!$L$49)</f>
        <v>885.87750855891773</v>
      </c>
      <c r="G96" t="s">
        <v>30</v>
      </c>
    </row>
    <row r="97" spans="1:7" ht="18" x14ac:dyDescent="0.35">
      <c r="A97" s="24" t="s">
        <v>223</v>
      </c>
      <c r="B97" s="24"/>
      <c r="C97" s="24"/>
      <c r="D97" s="24"/>
      <c r="E97" t="s">
        <v>258</v>
      </c>
      <c r="F97">
        <f>('Ripart. u.i.'!M35)*$K$26*$K$27*($K$28-$K$29)</f>
        <v>0</v>
      </c>
      <c r="G97" t="s">
        <v>30</v>
      </c>
    </row>
    <row r="98" spans="1:7" x14ac:dyDescent="0.25">
      <c r="A98" s="19">
        <v>33</v>
      </c>
      <c r="B98" s="19"/>
      <c r="C98" s="19"/>
      <c r="D98" s="19"/>
      <c r="E98" s="19"/>
      <c r="F98" s="19"/>
      <c r="G98" s="19"/>
    </row>
    <row r="99" spans="1:7" ht="18" x14ac:dyDescent="0.35">
      <c r="A99" s="24" t="s">
        <v>222</v>
      </c>
      <c r="B99" s="24"/>
      <c r="C99" s="24"/>
      <c r="D99" s="24"/>
      <c r="E99" t="s">
        <v>259</v>
      </c>
      <c r="F99" s="3">
        <f>('Consumi vet energ.'!$F$19-'Spese e costi unitari'!$F$20)*('Ripart. u.i.'!L36/'Ripart. u.i.'!$L$49)</f>
        <v>5024.7371179649526</v>
      </c>
      <c r="G99" t="s">
        <v>30</v>
      </c>
    </row>
    <row r="100" spans="1:7" ht="18" x14ac:dyDescent="0.35">
      <c r="A100" s="24" t="s">
        <v>223</v>
      </c>
      <c r="B100" s="24"/>
      <c r="C100" s="24"/>
      <c r="D100" s="24"/>
      <c r="E100" t="s">
        <v>260</v>
      </c>
      <c r="F100">
        <f>('Ripart. u.i.'!M36)*$K$26*$K$27*($K$28-$K$29)</f>
        <v>4294.7519999999995</v>
      </c>
      <c r="G100" t="s">
        <v>30</v>
      </c>
    </row>
    <row r="101" spans="1:7" x14ac:dyDescent="0.25">
      <c r="A101" s="19">
        <v>34</v>
      </c>
      <c r="B101" s="19"/>
      <c r="C101" s="19"/>
      <c r="D101" s="19"/>
      <c r="E101" s="19"/>
      <c r="F101" s="19"/>
      <c r="G101" s="19"/>
    </row>
    <row r="102" spans="1:7" ht="18" x14ac:dyDescent="0.35">
      <c r="A102" s="24" t="s">
        <v>222</v>
      </c>
      <c r="B102" s="24"/>
      <c r="C102" s="24"/>
      <c r="D102" s="24"/>
      <c r="E102" t="s">
        <v>261</v>
      </c>
      <c r="F102" s="3">
        <f>('Consumi vet energ.'!$F$19-'Spese e costi unitari'!$F$20)*('Ripart. u.i.'!L37/'Ripart. u.i.'!$L$49)</f>
        <v>4237.9183326895463</v>
      </c>
      <c r="G102" t="s">
        <v>30</v>
      </c>
    </row>
    <row r="103" spans="1:7" ht="18" x14ac:dyDescent="0.35">
      <c r="A103" s="24" t="s">
        <v>223</v>
      </c>
      <c r="B103" s="24"/>
      <c r="C103" s="24"/>
      <c r="D103" s="24"/>
      <c r="E103" t="s">
        <v>262</v>
      </c>
      <c r="F103">
        <f>('Ripart. u.i.'!M37)*$K$26*$K$27*($K$28-$K$29)</f>
        <v>2032.3379999999997</v>
      </c>
      <c r="G103" t="s">
        <v>30</v>
      </c>
    </row>
    <row r="104" spans="1:7" x14ac:dyDescent="0.25">
      <c r="A104" s="19">
        <v>35</v>
      </c>
      <c r="B104" s="19"/>
      <c r="C104" s="19"/>
      <c r="D104" s="19"/>
      <c r="E104" s="19"/>
      <c r="F104" s="19"/>
      <c r="G104" s="19"/>
    </row>
    <row r="105" spans="1:7" ht="18" x14ac:dyDescent="0.35">
      <c r="A105" s="24" t="s">
        <v>222</v>
      </c>
      <c r="B105" s="24"/>
      <c r="C105" s="24"/>
      <c r="D105" s="24"/>
      <c r="E105" t="s">
        <v>531</v>
      </c>
      <c r="F105" s="3">
        <f>('Consumi vet energ.'!$F$19-'Spese e costi unitari'!$F$20)*('Ripart. u.i.'!L38/'Ripart. u.i.'!$L$49)</f>
        <v>5238.4779202176296</v>
      </c>
      <c r="G105" t="s">
        <v>30</v>
      </c>
    </row>
    <row r="106" spans="1:7" ht="18" x14ac:dyDescent="0.35">
      <c r="A106" s="24" t="s">
        <v>223</v>
      </c>
      <c r="B106" s="24"/>
      <c r="C106" s="24"/>
      <c r="D106" s="24"/>
      <c r="E106" t="s">
        <v>532</v>
      </c>
      <c r="F106">
        <f>('Ripart. u.i.'!M38)*$K$26*$K$27*($K$28-$K$29)</f>
        <v>805.26599999999996</v>
      </c>
      <c r="G106" t="s">
        <v>30</v>
      </c>
    </row>
    <row r="107" spans="1:7" x14ac:dyDescent="0.25">
      <c r="A107" s="19">
        <v>36</v>
      </c>
      <c r="B107" s="19"/>
      <c r="C107" s="19"/>
      <c r="D107" s="19"/>
      <c r="E107" s="19"/>
      <c r="F107" s="19"/>
      <c r="G107" s="19"/>
    </row>
    <row r="108" spans="1:7" ht="18" x14ac:dyDescent="0.35">
      <c r="A108" s="24" t="s">
        <v>222</v>
      </c>
      <c r="B108" s="24"/>
      <c r="C108" s="24"/>
      <c r="D108" s="24"/>
      <c r="E108" t="s">
        <v>533</v>
      </c>
      <c r="F108" s="3">
        <f>('Consumi vet energ.'!$F$19-'Spese e costi unitari'!$F$20)*('Ripart. u.i.'!L39/'Ripart. u.i.'!$L$49)</f>
        <v>423.82507445126453</v>
      </c>
      <c r="G108" t="s">
        <v>30</v>
      </c>
    </row>
    <row r="109" spans="1:7" ht="18" x14ac:dyDescent="0.35">
      <c r="A109" s="24" t="s">
        <v>223</v>
      </c>
      <c r="B109" s="24"/>
      <c r="C109" s="24"/>
      <c r="D109" s="24"/>
      <c r="E109" t="s">
        <v>534</v>
      </c>
      <c r="F109">
        <f>('Ripart. u.i.'!M39)*$K$26*$K$27*($K$28-$K$29)</f>
        <v>1112.0339999999999</v>
      </c>
      <c r="G109" t="s">
        <v>30</v>
      </c>
    </row>
    <row r="110" spans="1:7" x14ac:dyDescent="0.25">
      <c r="A110" s="19">
        <v>37</v>
      </c>
      <c r="B110" s="19"/>
      <c r="C110" s="19"/>
      <c r="D110" s="19"/>
      <c r="E110" s="19"/>
      <c r="F110" s="19"/>
      <c r="G110" s="19"/>
    </row>
    <row r="111" spans="1:7" ht="18" x14ac:dyDescent="0.35">
      <c r="A111" s="24" t="s">
        <v>222</v>
      </c>
      <c r="B111" s="24"/>
      <c r="C111" s="24"/>
      <c r="D111" s="24"/>
      <c r="E111" t="s">
        <v>535</v>
      </c>
      <c r="F111" s="3">
        <f>('Consumi vet energ.'!$F$19-'Spese e costi unitari'!$F$20)*('Ripart. u.i.'!L40/'Ripart. u.i.'!$L$49)</f>
        <v>2763.0070735991458</v>
      </c>
      <c r="G111" t="s">
        <v>30</v>
      </c>
    </row>
    <row r="112" spans="1:7" ht="18" x14ac:dyDescent="0.35">
      <c r="A112" s="24" t="s">
        <v>223</v>
      </c>
      <c r="B112" s="24"/>
      <c r="C112" s="24"/>
      <c r="D112" s="24"/>
      <c r="E112" t="s">
        <v>536</v>
      </c>
      <c r="F112">
        <f>('Ripart. u.i.'!M40)*$K$26*$K$27*($K$28-$K$29)</f>
        <v>1802.2619999999997</v>
      </c>
      <c r="G112" t="s">
        <v>30</v>
      </c>
    </row>
    <row r="113" spans="1:7" x14ac:dyDescent="0.25">
      <c r="A113" s="19">
        <v>38</v>
      </c>
      <c r="B113" s="19"/>
      <c r="C113" s="19"/>
      <c r="D113" s="19"/>
      <c r="E113" s="19"/>
      <c r="F113" s="19"/>
      <c r="G113" s="19"/>
    </row>
    <row r="114" spans="1:7" ht="18" x14ac:dyDescent="0.35">
      <c r="A114" s="24" t="s">
        <v>222</v>
      </c>
      <c r="B114" s="24"/>
      <c r="C114" s="24"/>
      <c r="D114" s="24"/>
      <c r="E114" t="s">
        <v>537</v>
      </c>
      <c r="F114" s="3">
        <f>('Consumi vet energ.'!$F$19-'Spese e costi unitari'!$F$20)*('Ripart. u.i.'!L41/'Ripart. u.i.'!$L$49)</f>
        <v>1674.3583529498192</v>
      </c>
      <c r="G114" t="s">
        <v>30</v>
      </c>
    </row>
    <row r="115" spans="1:7" ht="18" x14ac:dyDescent="0.35">
      <c r="A115" s="24" t="s">
        <v>223</v>
      </c>
      <c r="B115" s="24"/>
      <c r="C115" s="24"/>
      <c r="D115" s="24"/>
      <c r="E115" t="s">
        <v>538</v>
      </c>
      <c r="F115">
        <f>('Ripart. u.i.'!M41)*$K$26*$K$27*($K$28-$K$29)</f>
        <v>1418.8019999999997</v>
      </c>
      <c r="G115" t="s">
        <v>30</v>
      </c>
    </row>
    <row r="116" spans="1:7" x14ac:dyDescent="0.25">
      <c r="A116" s="19">
        <v>39</v>
      </c>
      <c r="B116" s="19"/>
      <c r="C116" s="19"/>
      <c r="D116" s="19"/>
      <c r="E116" s="19"/>
      <c r="F116" s="19"/>
      <c r="G116" s="19"/>
    </row>
    <row r="117" spans="1:7" ht="18" x14ac:dyDescent="0.35">
      <c r="A117" s="24" t="s">
        <v>222</v>
      </c>
      <c r="B117" s="24"/>
      <c r="C117" s="24"/>
      <c r="D117" s="24"/>
      <c r="E117" t="s">
        <v>539</v>
      </c>
      <c r="F117" s="3">
        <f>('Consumi vet energ.'!$F$19-'Spese e costi unitari'!$F$20)*('Ripart. u.i.'!L42/'Ripart. u.i.'!$L$49)</f>
        <v>0</v>
      </c>
      <c r="G117" t="s">
        <v>30</v>
      </c>
    </row>
    <row r="118" spans="1:7" ht="18" x14ac:dyDescent="0.35">
      <c r="A118" s="24" t="s">
        <v>223</v>
      </c>
      <c r="B118" s="24"/>
      <c r="C118" s="24"/>
      <c r="D118" s="24"/>
      <c r="E118" t="s">
        <v>540</v>
      </c>
      <c r="F118">
        <f>('Ripart. u.i.'!M42)*$K$26*$K$27*($K$28-$K$29)</f>
        <v>0</v>
      </c>
      <c r="G118" t="s">
        <v>30</v>
      </c>
    </row>
    <row r="119" spans="1:7" x14ac:dyDescent="0.25">
      <c r="A119" s="19">
        <v>40</v>
      </c>
      <c r="B119" s="19"/>
      <c r="C119" s="19"/>
      <c r="D119" s="19"/>
      <c r="E119" s="19"/>
      <c r="F119" s="19"/>
      <c r="G119" s="19"/>
    </row>
    <row r="120" spans="1:7" ht="18" x14ac:dyDescent="0.35">
      <c r="A120" s="24" t="s">
        <v>222</v>
      </c>
      <c r="B120" s="24"/>
      <c r="C120" s="24"/>
      <c r="D120" s="24"/>
      <c r="E120" t="s">
        <v>541</v>
      </c>
      <c r="F120" s="3">
        <f>('Consumi vet energ.'!$F$19-'Spese e costi unitari'!$F$20)*('Ripart. u.i.'!L43/'Ripart. u.i.'!$L$49)</f>
        <v>1819.9547314671947</v>
      </c>
      <c r="G120" t="s">
        <v>30</v>
      </c>
    </row>
    <row r="121" spans="1:7" ht="18" x14ac:dyDescent="0.35">
      <c r="A121" s="24" t="s">
        <v>223</v>
      </c>
      <c r="B121" s="24"/>
      <c r="C121" s="24"/>
      <c r="D121" s="24"/>
      <c r="E121" t="s">
        <v>542</v>
      </c>
      <c r="F121">
        <f>('Ripart. u.i.'!M43)*$K$26*$K$27*($K$28-$K$29)</f>
        <v>306.76799999999997</v>
      </c>
      <c r="G121" t="s">
        <v>30</v>
      </c>
    </row>
    <row r="122" spans="1:7" x14ac:dyDescent="0.25">
      <c r="A122" s="19">
        <v>41</v>
      </c>
      <c r="B122" s="19"/>
      <c r="C122" s="19"/>
      <c r="D122" s="19"/>
      <c r="E122" s="19"/>
      <c r="F122" s="19"/>
      <c r="G122" s="19"/>
    </row>
    <row r="123" spans="1:7" ht="18" x14ac:dyDescent="0.35">
      <c r="A123" s="24" t="s">
        <v>222</v>
      </c>
      <c r="B123" s="24"/>
      <c r="C123" s="24"/>
      <c r="D123" s="24"/>
      <c r="E123" t="s">
        <v>531</v>
      </c>
      <c r="F123" s="3">
        <f>('Consumi vet energ.'!$F$19-'Spese e costi unitari'!$F$20)*('Ripart. u.i.'!L44/'Ripart. u.i.'!$L$49)</f>
        <v>1880.7860950943175</v>
      </c>
      <c r="G123" t="s">
        <v>30</v>
      </c>
    </row>
    <row r="124" spans="1:7" ht="18" x14ac:dyDescent="0.35">
      <c r="A124" s="24" t="s">
        <v>223</v>
      </c>
      <c r="B124" s="24"/>
      <c r="C124" s="24"/>
      <c r="D124" s="24"/>
      <c r="E124" t="s">
        <v>532</v>
      </c>
      <c r="F124">
        <f>('Ripart. u.i.'!M44)*$K$26*$K$27*($K$28-$K$29)</f>
        <v>460.15199999999993</v>
      </c>
      <c r="G124" t="s">
        <v>30</v>
      </c>
    </row>
    <row r="125" spans="1:7" x14ac:dyDescent="0.25">
      <c r="A125" s="19">
        <v>42</v>
      </c>
      <c r="B125" s="19"/>
      <c r="C125" s="19"/>
      <c r="D125" s="19"/>
      <c r="E125" s="19"/>
      <c r="F125" s="19"/>
      <c r="G125" s="19"/>
    </row>
    <row r="126" spans="1:7" ht="18" x14ac:dyDescent="0.35">
      <c r="A126" s="24" t="s">
        <v>222</v>
      </c>
      <c r="B126" s="24"/>
      <c r="C126" s="24"/>
      <c r="D126" s="24"/>
      <c r="E126" t="s">
        <v>533</v>
      </c>
      <c r="F126" s="3">
        <f>('Consumi vet energ.'!$F$19-'Spese e costi unitari'!$F$20)*('Ripart. u.i.'!L45/'Ripart. u.i.'!$L$49)</f>
        <v>1319.6749377031531</v>
      </c>
      <c r="G126" t="s">
        <v>30</v>
      </c>
    </row>
    <row r="127" spans="1:7" ht="18" x14ac:dyDescent="0.35">
      <c r="A127" s="24" t="s">
        <v>223</v>
      </c>
      <c r="B127" s="24"/>
      <c r="C127" s="24"/>
      <c r="D127" s="24"/>
      <c r="E127" t="s">
        <v>534</v>
      </c>
      <c r="F127">
        <f>('Ripart. u.i.'!M45)*$K$26*$K$27*($K$28-$K$29)</f>
        <v>460.15199999999993</v>
      </c>
      <c r="G127" t="s">
        <v>30</v>
      </c>
    </row>
    <row r="128" spans="1:7" x14ac:dyDescent="0.25">
      <c r="A128" s="19">
        <v>43</v>
      </c>
      <c r="B128" s="19"/>
      <c r="C128" s="19"/>
      <c r="D128" s="19"/>
      <c r="E128" s="19"/>
      <c r="F128" s="19"/>
      <c r="G128" s="19"/>
    </row>
    <row r="129" spans="1:7" ht="18" x14ac:dyDescent="0.35">
      <c r="A129" s="24" t="s">
        <v>222</v>
      </c>
      <c r="B129" s="24"/>
      <c r="C129" s="24"/>
      <c r="D129" s="24"/>
      <c r="E129" t="s">
        <v>535</v>
      </c>
      <c r="F129" s="3">
        <f>('Consumi vet energ.'!$F$19-'Spese e costi unitari'!$F$20)*('Ripart. u.i.'!L46/'Ripart. u.i.'!$L$49)</f>
        <v>3978.6371106723022</v>
      </c>
      <c r="G129" t="s">
        <v>30</v>
      </c>
    </row>
    <row r="130" spans="1:7" ht="18" x14ac:dyDescent="0.35">
      <c r="A130" s="24" t="s">
        <v>223</v>
      </c>
      <c r="B130" s="24"/>
      <c r="C130" s="24"/>
      <c r="D130" s="24"/>
      <c r="E130" t="s">
        <v>536</v>
      </c>
      <c r="F130">
        <f>('Ripart. u.i.'!M46)*$K$26*$K$27*($K$28-$K$29)</f>
        <v>3451.1399999999994</v>
      </c>
      <c r="G130" t="s">
        <v>30</v>
      </c>
    </row>
    <row r="131" spans="1:7" x14ac:dyDescent="0.25">
      <c r="A131" s="19">
        <v>44</v>
      </c>
      <c r="B131" s="19"/>
      <c r="C131" s="19"/>
      <c r="D131" s="19"/>
      <c r="E131" s="19"/>
      <c r="F131" s="19"/>
      <c r="G131" s="19"/>
    </row>
    <row r="132" spans="1:7" ht="18" x14ac:dyDescent="0.35">
      <c r="A132" s="24" t="s">
        <v>222</v>
      </c>
      <c r="B132" s="24"/>
      <c r="C132" s="24"/>
      <c r="D132" s="24"/>
      <c r="E132" t="s">
        <v>537</v>
      </c>
      <c r="F132" s="3">
        <f>('Consumi vet energ.'!$F$19-'Spese e costi unitari'!$F$20)*('Ripart. u.i.'!L47/'Ripart. u.i.'!$L$49)</f>
        <v>6468.0692538609455</v>
      </c>
      <c r="G132" t="s">
        <v>30</v>
      </c>
    </row>
    <row r="133" spans="1:7" ht="18" x14ac:dyDescent="0.35">
      <c r="A133" s="24" t="s">
        <v>223</v>
      </c>
      <c r="B133" s="24"/>
      <c r="C133" s="24"/>
      <c r="D133" s="24"/>
      <c r="E133" t="s">
        <v>538</v>
      </c>
      <c r="F133">
        <f>('Ripart. u.i.'!M47)*$K$26*$K$27*($K$28-$K$29)</f>
        <v>2645.8739999999993</v>
      </c>
      <c r="G133" t="s">
        <v>30</v>
      </c>
    </row>
    <row r="134" spans="1:7" x14ac:dyDescent="0.25">
      <c r="A134" s="19">
        <v>45</v>
      </c>
      <c r="B134" s="19"/>
      <c r="C134" s="19"/>
      <c r="D134" s="19"/>
      <c r="E134" s="19"/>
      <c r="F134" s="19"/>
      <c r="G134" s="19"/>
    </row>
    <row r="135" spans="1:7" ht="18" x14ac:dyDescent="0.35">
      <c r="A135" s="24" t="s">
        <v>222</v>
      </c>
      <c r="B135" s="24"/>
      <c r="C135" s="24"/>
      <c r="D135" s="24"/>
      <c r="E135" t="s">
        <v>539</v>
      </c>
      <c r="F135" s="3">
        <f>('Consumi vet energ.'!$F$19-'Spese e costi unitari'!$F$20)*('Ripart. u.i.'!L48/'Ripart. u.i.'!$L$49)</f>
        <v>3853.6502651870669</v>
      </c>
      <c r="G135" t="s">
        <v>30</v>
      </c>
    </row>
    <row r="136" spans="1:7" ht="18" x14ac:dyDescent="0.35">
      <c r="A136" s="24" t="s">
        <v>223</v>
      </c>
      <c r="B136" s="24"/>
      <c r="C136" s="24"/>
      <c r="D136" s="24"/>
      <c r="E136" t="s">
        <v>540</v>
      </c>
      <c r="F136">
        <f>('Ripart. u.i.'!M48)*$K$26*$K$27*($K$28-$K$29)</f>
        <v>1073.6879999999999</v>
      </c>
      <c r="G136" t="s">
        <v>30</v>
      </c>
    </row>
  </sheetData>
  <mergeCells count="154">
    <mergeCell ref="A135:D135"/>
    <mergeCell ref="A136:D136"/>
    <mergeCell ref="A130:D130"/>
    <mergeCell ref="A131:G131"/>
    <mergeCell ref="A132:D132"/>
    <mergeCell ref="A133:D133"/>
    <mergeCell ref="A134:G134"/>
    <mergeCell ref="A125:G125"/>
    <mergeCell ref="A126:D126"/>
    <mergeCell ref="A127:D127"/>
    <mergeCell ref="A128:G128"/>
    <mergeCell ref="A129:D129"/>
    <mergeCell ref="A120:D120"/>
    <mergeCell ref="A121:D121"/>
    <mergeCell ref="A122:G122"/>
    <mergeCell ref="A123:D123"/>
    <mergeCell ref="A124:D124"/>
    <mergeCell ref="A115:D115"/>
    <mergeCell ref="A116:G116"/>
    <mergeCell ref="A117:D117"/>
    <mergeCell ref="A118:D118"/>
    <mergeCell ref="A119:G119"/>
    <mergeCell ref="A110:G110"/>
    <mergeCell ref="A111:D111"/>
    <mergeCell ref="A112:D112"/>
    <mergeCell ref="A113:G113"/>
    <mergeCell ref="A114:D114"/>
    <mergeCell ref="A105:D105"/>
    <mergeCell ref="A106:D106"/>
    <mergeCell ref="A107:G107"/>
    <mergeCell ref="A108:D108"/>
    <mergeCell ref="A109:D109"/>
    <mergeCell ref="A100:D100"/>
    <mergeCell ref="A101:G101"/>
    <mergeCell ref="A102:D102"/>
    <mergeCell ref="A103:D103"/>
    <mergeCell ref="A104:G104"/>
    <mergeCell ref="A95:G95"/>
    <mergeCell ref="A96:D96"/>
    <mergeCell ref="A97:D97"/>
    <mergeCell ref="A98:G98"/>
    <mergeCell ref="A99:D99"/>
    <mergeCell ref="A90:D90"/>
    <mergeCell ref="A91:D91"/>
    <mergeCell ref="A92:G92"/>
    <mergeCell ref="A93:D93"/>
    <mergeCell ref="A94:D94"/>
    <mergeCell ref="A85:D85"/>
    <mergeCell ref="A86:G86"/>
    <mergeCell ref="A87:D87"/>
    <mergeCell ref="A88:D88"/>
    <mergeCell ref="A89:G89"/>
    <mergeCell ref="A80:G80"/>
    <mergeCell ref="A81:D81"/>
    <mergeCell ref="A82:D82"/>
    <mergeCell ref="A83:G83"/>
    <mergeCell ref="A84:D84"/>
    <mergeCell ref="A75:D75"/>
    <mergeCell ref="A76:D76"/>
    <mergeCell ref="A77:G77"/>
    <mergeCell ref="A78:D78"/>
    <mergeCell ref="A79:D79"/>
    <mergeCell ref="A70:D70"/>
    <mergeCell ref="A71:G71"/>
    <mergeCell ref="A72:D72"/>
    <mergeCell ref="A73:D73"/>
    <mergeCell ref="A74:G74"/>
    <mergeCell ref="A65:G65"/>
    <mergeCell ref="A66:D66"/>
    <mergeCell ref="A67:D67"/>
    <mergeCell ref="A68:G68"/>
    <mergeCell ref="A69:D69"/>
    <mergeCell ref="A60:D60"/>
    <mergeCell ref="A61:D61"/>
    <mergeCell ref="A62:G62"/>
    <mergeCell ref="A63:D63"/>
    <mergeCell ref="A64:D64"/>
    <mergeCell ref="A32:G32"/>
    <mergeCell ref="A33:D33"/>
    <mergeCell ref="A34:D34"/>
    <mergeCell ref="A35:G35"/>
    <mergeCell ref="A36:D36"/>
    <mergeCell ref="A37:D37"/>
    <mergeCell ref="A38:G38"/>
    <mergeCell ref="A39:D39"/>
    <mergeCell ref="A40:D40"/>
    <mergeCell ref="A41:G41"/>
    <mergeCell ref="A42:D42"/>
    <mergeCell ref="A43:D43"/>
    <mergeCell ref="A44:G44"/>
    <mergeCell ref="A45:D45"/>
    <mergeCell ref="A55:D55"/>
    <mergeCell ref="A56:G56"/>
    <mergeCell ref="A57:D57"/>
    <mergeCell ref="A58:D58"/>
    <mergeCell ref="A59:G59"/>
    <mergeCell ref="A50:G50"/>
    <mergeCell ref="A51:D51"/>
    <mergeCell ref="A52:D52"/>
    <mergeCell ref="A53:G53"/>
    <mergeCell ref="A54:D54"/>
    <mergeCell ref="A46:D46"/>
    <mergeCell ref="A47:G47"/>
    <mergeCell ref="A48:D48"/>
    <mergeCell ref="A49:D49"/>
    <mergeCell ref="A1:G1"/>
    <mergeCell ref="A4:D4"/>
    <mergeCell ref="A5:G5"/>
    <mergeCell ref="A6:D6"/>
    <mergeCell ref="A13:D13"/>
    <mergeCell ref="A14:G14"/>
    <mergeCell ref="A15:D15"/>
    <mergeCell ref="A16:D16"/>
    <mergeCell ref="J2:P2"/>
    <mergeCell ref="J3:M5"/>
    <mergeCell ref="J6:M8"/>
    <mergeCell ref="J9:M10"/>
    <mergeCell ref="A7:D7"/>
    <mergeCell ref="A8:G8"/>
    <mergeCell ref="A9:D9"/>
    <mergeCell ref="A10:D10"/>
    <mergeCell ref="A11:G11"/>
    <mergeCell ref="A12:D12"/>
    <mergeCell ref="A2:G2"/>
    <mergeCell ref="A3:D3"/>
    <mergeCell ref="N3:N5"/>
    <mergeCell ref="N6:N8"/>
    <mergeCell ref="N9:N10"/>
    <mergeCell ref="J13:P13"/>
    <mergeCell ref="J14:M16"/>
    <mergeCell ref="N14:N16"/>
    <mergeCell ref="J17:M19"/>
    <mergeCell ref="N17:N19"/>
    <mergeCell ref="J20:M21"/>
    <mergeCell ref="N20:N21"/>
    <mergeCell ref="J22:M23"/>
    <mergeCell ref="N22:N23"/>
    <mergeCell ref="A17:G17"/>
    <mergeCell ref="A18:D18"/>
    <mergeCell ref="A19:D19"/>
    <mergeCell ref="A20:G20"/>
    <mergeCell ref="A21:D21"/>
    <mergeCell ref="A22:D22"/>
    <mergeCell ref="A23:G23"/>
    <mergeCell ref="A24:D24"/>
    <mergeCell ref="A25:D25"/>
    <mergeCell ref="A26:G26"/>
    <mergeCell ref="R33:U33"/>
    <mergeCell ref="R34:U34"/>
    <mergeCell ref="A27:D27"/>
    <mergeCell ref="A28:D28"/>
    <mergeCell ref="A29:G29"/>
    <mergeCell ref="A30:D30"/>
    <mergeCell ref="A31:D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99"/>
  <sheetViews>
    <sheetView workbookViewId="0">
      <selection activeCell="F94" sqref="F94"/>
    </sheetView>
  </sheetViews>
  <sheetFormatPr defaultRowHeight="15" x14ac:dyDescent="0.25"/>
  <cols>
    <col min="4" max="4" width="41.85546875" customWidth="1"/>
    <col min="9" max="9" width="18.5703125" customWidth="1"/>
  </cols>
  <sheetData>
    <row r="1" spans="1:11" x14ac:dyDescent="0.25">
      <c r="A1" s="19" t="s">
        <v>244</v>
      </c>
      <c r="B1" s="19"/>
      <c r="C1" s="19"/>
      <c r="D1" s="19"/>
      <c r="E1" s="19"/>
      <c r="F1" s="19"/>
      <c r="G1" s="19"/>
    </row>
    <row r="2" spans="1:11" x14ac:dyDescent="0.25">
      <c r="A2" s="19" t="s">
        <v>221</v>
      </c>
      <c r="B2" s="19"/>
      <c r="C2" s="19"/>
      <c r="D2" s="19"/>
      <c r="E2" s="19"/>
      <c r="F2" s="19"/>
      <c r="G2" s="19"/>
    </row>
    <row r="3" spans="1:11" ht="18" x14ac:dyDescent="0.35">
      <c r="A3" s="24" t="s">
        <v>245</v>
      </c>
      <c r="B3" s="24"/>
      <c r="C3" s="24"/>
      <c r="D3" s="24"/>
      <c r="E3" t="s">
        <v>250</v>
      </c>
      <c r="F3" s="3">
        <f>'Spese e costi unitari'!$F$16*'Consumo e spesa'!F3</f>
        <v>206.30328011037003</v>
      </c>
      <c r="G3" t="s">
        <v>31</v>
      </c>
    </row>
    <row r="4" spans="1:11" ht="18" x14ac:dyDescent="0.35">
      <c r="A4" s="24" t="s">
        <v>246</v>
      </c>
      <c r="B4" s="24"/>
      <c r="C4" s="24"/>
      <c r="D4" s="24"/>
      <c r="E4" t="s">
        <v>251</v>
      </c>
      <c r="F4">
        <f>'Spese e costi unitari'!$F$17*'Consumo e spesa'!F4</f>
        <v>79.244440796874713</v>
      </c>
      <c r="G4" t="s">
        <v>31</v>
      </c>
    </row>
    <row r="5" spans="1:11" ht="18" x14ac:dyDescent="0.35">
      <c r="A5" s="24" t="s">
        <v>247</v>
      </c>
      <c r="B5" s="24"/>
      <c r="C5" s="24"/>
      <c r="D5" s="24"/>
      <c r="E5" t="s">
        <v>252</v>
      </c>
      <c r="F5" s="3">
        <f>'Consumo e spesa'!$O$21*('Letture-mill. u.i.'!F27/1000)</f>
        <v>421.73938130847387</v>
      </c>
      <c r="G5" t="s">
        <v>31</v>
      </c>
    </row>
    <row r="6" spans="1:11" ht="18" x14ac:dyDescent="0.35">
      <c r="A6" s="24" t="s">
        <v>248</v>
      </c>
      <c r="B6" s="24"/>
      <c r="C6" s="24"/>
      <c r="D6" s="24"/>
      <c r="E6" t="s">
        <v>253</v>
      </c>
      <c r="F6" s="3">
        <f>'Consumo e spesa'!$O$23*('Letture-mill. u.i.'!F28/1000)</f>
        <v>60.715275528246572</v>
      </c>
      <c r="G6" t="s">
        <v>31</v>
      </c>
    </row>
    <row r="7" spans="1:11" ht="18" x14ac:dyDescent="0.35">
      <c r="A7" s="24" t="s">
        <v>128</v>
      </c>
      <c r="B7" s="24"/>
      <c r="C7" s="24"/>
      <c r="D7" s="24"/>
      <c r="E7" t="s">
        <v>254</v>
      </c>
      <c r="F7" s="3">
        <f>F3+F5</f>
        <v>628.04266141884386</v>
      </c>
      <c r="G7" t="s">
        <v>31</v>
      </c>
      <c r="I7" s="3">
        <f>('Spese e costi unitari'!$F$16*'Consumo e spesa'!F3)+('Consumo e spesa'!$O$21*('Ripart. u.i.'!N4/1000))</f>
        <v>628.04266141884386</v>
      </c>
      <c r="K7" s="3">
        <f>SUM(F9,F18,F27,F36,F45,F54,F63,F72,F81,F90)</f>
        <v>7165.4061856784419</v>
      </c>
    </row>
    <row r="8" spans="1:11" ht="18" x14ac:dyDescent="0.35">
      <c r="A8" s="24" t="s">
        <v>129</v>
      </c>
      <c r="B8" s="24"/>
      <c r="C8" s="24"/>
      <c r="D8" s="24"/>
      <c r="E8" t="s">
        <v>255</v>
      </c>
      <c r="F8" s="3">
        <f>F4+F6</f>
        <v>139.95971632512129</v>
      </c>
      <c r="G8" t="s">
        <v>31</v>
      </c>
      <c r="I8" s="3">
        <f>('Spese e costi unitari'!$F$17*'Consumo e spesa'!F4)+('Consumo e spesa'!$O$23*('Ripart. u.i.'!O4/1000))</f>
        <v>139.95971632512129</v>
      </c>
    </row>
    <row r="9" spans="1:11" ht="18" x14ac:dyDescent="0.35">
      <c r="A9" s="24" t="s">
        <v>249</v>
      </c>
      <c r="B9" s="24"/>
      <c r="C9" s="24"/>
      <c r="D9" s="24"/>
      <c r="E9" t="s">
        <v>256</v>
      </c>
      <c r="F9" s="3">
        <f>F7+F8</f>
        <v>768.0023777439651</v>
      </c>
      <c r="G9" t="s">
        <v>31</v>
      </c>
    </row>
    <row r="11" spans="1:11" x14ac:dyDescent="0.25">
      <c r="A11" s="19" t="s">
        <v>226</v>
      </c>
      <c r="B11" s="19"/>
      <c r="C11" s="19"/>
      <c r="D11" s="19"/>
      <c r="E11" s="19"/>
      <c r="F11" s="19"/>
      <c r="G11" s="19"/>
    </row>
    <row r="12" spans="1:11" ht="18" x14ac:dyDescent="0.35">
      <c r="A12" s="24" t="s">
        <v>245</v>
      </c>
      <c r="B12" s="24"/>
      <c r="C12" s="24"/>
      <c r="D12" s="24"/>
      <c r="E12" t="s">
        <v>547</v>
      </c>
      <c r="F12" s="3">
        <f>'Spese e costi unitari'!$F$16*'Consumo e spesa'!F6</f>
        <v>385.38155305447219</v>
      </c>
      <c r="G12" t="s">
        <v>31</v>
      </c>
    </row>
    <row r="13" spans="1:11" ht="18" x14ac:dyDescent="0.35">
      <c r="A13" s="24" t="s">
        <v>246</v>
      </c>
      <c r="B13" s="24"/>
      <c r="C13" s="24"/>
      <c r="D13" s="24"/>
      <c r="E13" t="s">
        <v>548</v>
      </c>
      <c r="F13">
        <f>'Spese e costi unitari'!$F$17*'Consumo e spesa'!F7</f>
        <v>50.628392731336625</v>
      </c>
      <c r="G13" t="s">
        <v>31</v>
      </c>
    </row>
    <row r="14" spans="1:11" ht="18" x14ac:dyDescent="0.35">
      <c r="A14" s="24" t="s">
        <v>247</v>
      </c>
      <c r="B14" s="24"/>
      <c r="C14" s="24"/>
      <c r="D14" s="24"/>
      <c r="E14" t="s">
        <v>549</v>
      </c>
      <c r="F14" s="3">
        <f>'Consumo e spesa'!$O$21*('Letture-mill. u.i.'!F47/1000)</f>
        <v>292.68923756920316</v>
      </c>
      <c r="G14" t="s">
        <v>31</v>
      </c>
    </row>
    <row r="15" spans="1:11" ht="18" x14ac:dyDescent="0.35">
      <c r="A15" s="24" t="s">
        <v>248</v>
      </c>
      <c r="B15" s="24"/>
      <c r="C15" s="24"/>
      <c r="D15" s="24"/>
      <c r="E15" t="s">
        <v>550</v>
      </c>
      <c r="F15" s="3">
        <f>'Consumo e spesa'!$O$23*('Letture-mill. u.i.'!F48/1000)</f>
        <v>50.399802028878064</v>
      </c>
      <c r="G15" t="s">
        <v>31</v>
      </c>
    </row>
    <row r="16" spans="1:11" ht="18" x14ac:dyDescent="0.35">
      <c r="A16" s="24" t="s">
        <v>128</v>
      </c>
      <c r="B16" s="24"/>
      <c r="C16" s="24"/>
      <c r="D16" s="24"/>
      <c r="E16" t="s">
        <v>551</v>
      </c>
      <c r="F16" s="3">
        <f>F12+F14</f>
        <v>678.07079062367529</v>
      </c>
      <c r="G16" t="s">
        <v>31</v>
      </c>
    </row>
    <row r="17" spans="1:7" ht="18" x14ac:dyDescent="0.35">
      <c r="A17" s="24" t="s">
        <v>129</v>
      </c>
      <c r="B17" s="24"/>
      <c r="C17" s="24"/>
      <c r="D17" s="24"/>
      <c r="E17" t="s">
        <v>552</v>
      </c>
      <c r="F17" s="3">
        <f>F13+F15</f>
        <v>101.02819476021469</v>
      </c>
      <c r="G17" t="s">
        <v>31</v>
      </c>
    </row>
    <row r="18" spans="1:7" ht="18" x14ac:dyDescent="0.35">
      <c r="A18" s="24" t="s">
        <v>249</v>
      </c>
      <c r="B18" s="24"/>
      <c r="C18" s="24"/>
      <c r="D18" s="24"/>
      <c r="E18" t="s">
        <v>553</v>
      </c>
      <c r="F18" s="3">
        <f>F16+F17</f>
        <v>779.09898538388995</v>
      </c>
      <c r="G18" t="s">
        <v>31</v>
      </c>
    </row>
    <row r="20" spans="1:7" x14ac:dyDescent="0.25">
      <c r="A20" s="19" t="s">
        <v>227</v>
      </c>
      <c r="B20" s="19"/>
      <c r="C20" s="19"/>
      <c r="D20" s="19"/>
      <c r="E20" s="19"/>
      <c r="F20" s="19"/>
      <c r="G20" s="19"/>
    </row>
    <row r="21" spans="1:7" ht="18" x14ac:dyDescent="0.35">
      <c r="A21" s="24" t="s">
        <v>245</v>
      </c>
      <c r="B21" s="24"/>
      <c r="C21" s="24"/>
      <c r="D21" s="24"/>
      <c r="E21" t="s">
        <v>554</v>
      </c>
      <c r="F21" s="3">
        <f>'Spese e costi unitari'!$F$16*'Consumo e spesa'!F9</f>
        <v>137.40245552242527</v>
      </c>
      <c r="G21" t="s">
        <v>31</v>
      </c>
    </row>
    <row r="22" spans="1:7" ht="18" x14ac:dyDescent="0.35">
      <c r="A22" s="24" t="s">
        <v>246</v>
      </c>
      <c r="B22" s="24"/>
      <c r="C22" s="24"/>
      <c r="D22" s="24"/>
      <c r="E22" t="s">
        <v>555</v>
      </c>
      <c r="F22">
        <f>'Spese e costi unitari'!$F$17*'Consumo e spesa'!F10</f>
        <v>66.037033997395582</v>
      </c>
      <c r="G22" t="s">
        <v>31</v>
      </c>
    </row>
    <row r="23" spans="1:7" ht="18" x14ac:dyDescent="0.35">
      <c r="A23" s="24" t="s">
        <v>247</v>
      </c>
      <c r="B23" s="24"/>
      <c r="C23" s="24"/>
      <c r="D23" s="24"/>
      <c r="E23" t="s">
        <v>556</v>
      </c>
      <c r="F23" s="3">
        <f>'Consumo e spesa'!$O$21*('Letture-mill. u.i.'!F69/1000)</f>
        <v>343.95813821119913</v>
      </c>
      <c r="G23" t="s">
        <v>31</v>
      </c>
    </row>
    <row r="24" spans="1:7" ht="18" x14ac:dyDescent="0.35">
      <c r="A24" s="24" t="s">
        <v>248</v>
      </c>
      <c r="B24" s="24"/>
      <c r="C24" s="24"/>
      <c r="D24" s="24"/>
      <c r="E24" t="s">
        <v>557</v>
      </c>
      <c r="F24" s="3">
        <f>'Consumo e spesa'!$O$23*('Letture-mill. u.i.'!F70/1000)</f>
        <v>50.211391554003754</v>
      </c>
      <c r="G24" t="s">
        <v>31</v>
      </c>
    </row>
    <row r="25" spans="1:7" ht="18" x14ac:dyDescent="0.35">
      <c r="A25" s="24" t="s">
        <v>128</v>
      </c>
      <c r="B25" s="24"/>
      <c r="C25" s="24"/>
      <c r="D25" s="24"/>
      <c r="E25" t="s">
        <v>558</v>
      </c>
      <c r="F25" s="3">
        <f>F21+F23</f>
        <v>481.3605937336244</v>
      </c>
      <c r="G25" t="s">
        <v>31</v>
      </c>
    </row>
    <row r="26" spans="1:7" ht="18" x14ac:dyDescent="0.35">
      <c r="A26" s="24" t="s">
        <v>129</v>
      </c>
      <c r="B26" s="24"/>
      <c r="C26" s="24"/>
      <c r="D26" s="24"/>
      <c r="E26" t="s">
        <v>559</v>
      </c>
      <c r="F26" s="3">
        <f>F22+F24</f>
        <v>116.24842555139934</v>
      </c>
      <c r="G26" t="s">
        <v>31</v>
      </c>
    </row>
    <row r="27" spans="1:7" ht="18" x14ac:dyDescent="0.35">
      <c r="A27" s="24" t="s">
        <v>249</v>
      </c>
      <c r="B27" s="24"/>
      <c r="C27" s="24"/>
      <c r="D27" s="24"/>
      <c r="E27" t="s">
        <v>560</v>
      </c>
      <c r="F27" s="40">
        <f>F25+F26</f>
        <v>597.60901928502369</v>
      </c>
      <c r="G27" t="s">
        <v>31</v>
      </c>
    </row>
    <row r="29" spans="1:7" x14ac:dyDescent="0.25">
      <c r="A29" s="19" t="s">
        <v>228</v>
      </c>
      <c r="B29" s="19"/>
      <c r="C29" s="19"/>
      <c r="D29" s="19"/>
      <c r="E29" s="19"/>
      <c r="F29" s="19"/>
      <c r="G29" s="19"/>
    </row>
    <row r="30" spans="1:7" ht="18" x14ac:dyDescent="0.35">
      <c r="A30" s="24" t="s">
        <v>245</v>
      </c>
      <c r="B30" s="24"/>
      <c r="C30" s="24"/>
      <c r="D30" s="24"/>
      <c r="E30" t="s">
        <v>561</v>
      </c>
      <c r="F30" s="3">
        <f>'Spese e costi unitari'!$F$16*'Consumo e spesa'!F12</f>
        <v>178.08028881044135</v>
      </c>
      <c r="G30" t="s">
        <v>31</v>
      </c>
    </row>
    <row r="31" spans="1:7" ht="18" x14ac:dyDescent="0.35">
      <c r="A31" s="24" t="s">
        <v>246</v>
      </c>
      <c r="B31" s="24"/>
      <c r="C31" s="24"/>
      <c r="D31" s="24"/>
      <c r="E31" t="s">
        <v>562</v>
      </c>
      <c r="F31">
        <f>'Spese e costi unitari'!$F$17*'Consumo e spesa'!F13</f>
        <v>125.47036459505163</v>
      </c>
      <c r="G31" t="s">
        <v>31</v>
      </c>
    </row>
    <row r="32" spans="1:7" ht="18" x14ac:dyDescent="0.35">
      <c r="A32" s="24" t="s">
        <v>247</v>
      </c>
      <c r="B32" s="24"/>
      <c r="C32" s="24"/>
      <c r="D32" s="24"/>
      <c r="E32" t="s">
        <v>563</v>
      </c>
      <c r="F32" s="3">
        <f>'Consumo e spesa'!$O$21*('Letture-mill. u.i.'!F95/1000)</f>
        <v>324.82008968387868</v>
      </c>
      <c r="G32" t="s">
        <v>31</v>
      </c>
    </row>
    <row r="33" spans="1:7" ht="18" x14ac:dyDescent="0.35">
      <c r="A33" s="24" t="s">
        <v>248</v>
      </c>
      <c r="B33" s="24"/>
      <c r="C33" s="24"/>
      <c r="D33" s="24"/>
      <c r="E33" t="s">
        <v>564</v>
      </c>
      <c r="F33" s="3">
        <f>'Consumo e spesa'!$O$23*('Letture-mill. u.i.'!F96/1000)</f>
        <v>50.329148100800204</v>
      </c>
      <c r="G33" t="s">
        <v>31</v>
      </c>
    </row>
    <row r="34" spans="1:7" ht="18" x14ac:dyDescent="0.35">
      <c r="A34" s="24" t="s">
        <v>128</v>
      </c>
      <c r="B34" s="24"/>
      <c r="C34" s="24"/>
      <c r="D34" s="24"/>
      <c r="E34" t="s">
        <v>565</v>
      </c>
      <c r="F34" s="3">
        <f>F30+F32</f>
        <v>502.90037849432002</v>
      </c>
      <c r="G34" t="s">
        <v>31</v>
      </c>
    </row>
    <row r="35" spans="1:7" ht="18" x14ac:dyDescent="0.35">
      <c r="A35" s="24" t="s">
        <v>129</v>
      </c>
      <c r="B35" s="24"/>
      <c r="C35" s="24"/>
      <c r="D35" s="24"/>
      <c r="E35" t="s">
        <v>566</v>
      </c>
      <c r="F35" s="3">
        <f>F31+F33</f>
        <v>175.79951269585183</v>
      </c>
      <c r="G35" t="s">
        <v>31</v>
      </c>
    </row>
    <row r="36" spans="1:7" ht="18" x14ac:dyDescent="0.35">
      <c r="A36" s="24" t="s">
        <v>249</v>
      </c>
      <c r="B36" s="24"/>
      <c r="C36" s="24"/>
      <c r="D36" s="24"/>
      <c r="E36" t="s">
        <v>567</v>
      </c>
      <c r="F36" s="3">
        <f>F34+F35</f>
        <v>678.69989119017191</v>
      </c>
      <c r="G36" t="s">
        <v>31</v>
      </c>
    </row>
    <row r="38" spans="1:7" x14ac:dyDescent="0.25">
      <c r="A38" s="19" t="s">
        <v>524</v>
      </c>
      <c r="B38" s="19"/>
      <c r="C38" s="19"/>
      <c r="D38" s="19"/>
      <c r="E38" s="19"/>
      <c r="F38" s="19"/>
      <c r="G38" s="19"/>
    </row>
    <row r="39" spans="1:7" ht="18" x14ac:dyDescent="0.35">
      <c r="A39" s="24" t="s">
        <v>245</v>
      </c>
      <c r="B39" s="24"/>
      <c r="C39" s="24"/>
      <c r="D39" s="24"/>
      <c r="E39" t="s">
        <v>568</v>
      </c>
      <c r="F39" s="3">
        <f>'Spese e costi unitari'!$F$16*'Consumo e spesa'!F15</f>
        <v>263.38797255577043</v>
      </c>
      <c r="G39" t="s">
        <v>31</v>
      </c>
    </row>
    <row r="40" spans="1:7" ht="18" x14ac:dyDescent="0.35">
      <c r="A40" s="24" t="s">
        <v>246</v>
      </c>
      <c r="B40" s="24"/>
      <c r="C40" s="24"/>
      <c r="D40" s="24"/>
      <c r="E40" t="s">
        <v>569</v>
      </c>
      <c r="F40">
        <f>'Spese e costi unitari'!$F$17*'Consumo e spesa'!F16</f>
        <v>107.86048886241282</v>
      </c>
      <c r="G40" t="s">
        <v>31</v>
      </c>
    </row>
    <row r="41" spans="1:7" ht="18" x14ac:dyDescent="0.35">
      <c r="A41" s="24" t="s">
        <v>247</v>
      </c>
      <c r="B41" s="24"/>
      <c r="C41" s="24"/>
      <c r="D41" s="24"/>
      <c r="E41" t="s">
        <v>570</v>
      </c>
      <c r="F41" s="3">
        <f>'Consumo e spesa'!$O$21*('Letture-mill. u.i.'!F119/1000)</f>
        <v>299.71237464344921</v>
      </c>
      <c r="G41" t="s">
        <v>31</v>
      </c>
    </row>
    <row r="42" spans="1:7" ht="18" x14ac:dyDescent="0.35">
      <c r="A42" s="24" t="s">
        <v>248</v>
      </c>
      <c r="B42" s="24"/>
      <c r="C42" s="24"/>
      <c r="D42" s="24"/>
      <c r="E42" t="s">
        <v>571</v>
      </c>
      <c r="F42" s="3">
        <f>'Consumo e spesa'!$O$23*('Letture-mill. u.i.'!F120/1000)</f>
        <v>50.399802028878064</v>
      </c>
      <c r="G42" t="s">
        <v>31</v>
      </c>
    </row>
    <row r="43" spans="1:7" ht="18" x14ac:dyDescent="0.35">
      <c r="A43" s="24" t="s">
        <v>128</v>
      </c>
      <c r="B43" s="24"/>
      <c r="C43" s="24"/>
      <c r="D43" s="24"/>
      <c r="E43" t="s">
        <v>572</v>
      </c>
      <c r="F43" s="3">
        <f>F39+F41</f>
        <v>563.10034719921964</v>
      </c>
      <c r="G43" t="s">
        <v>31</v>
      </c>
    </row>
    <row r="44" spans="1:7" ht="18" x14ac:dyDescent="0.35">
      <c r="A44" s="24" t="s">
        <v>129</v>
      </c>
      <c r="B44" s="24"/>
      <c r="C44" s="24"/>
      <c r="D44" s="24"/>
      <c r="E44" t="s">
        <v>573</v>
      </c>
      <c r="F44" s="3">
        <f>F40+F42</f>
        <v>158.26029089129088</v>
      </c>
      <c r="G44" t="s">
        <v>31</v>
      </c>
    </row>
    <row r="45" spans="1:7" ht="18" x14ac:dyDescent="0.35">
      <c r="A45" s="24" t="s">
        <v>249</v>
      </c>
      <c r="B45" s="24"/>
      <c r="C45" s="24"/>
      <c r="D45" s="24"/>
      <c r="E45" t="s">
        <v>574</v>
      </c>
      <c r="F45" s="40">
        <f>F43+F44</f>
        <v>721.36063809051052</v>
      </c>
      <c r="G45" t="s">
        <v>31</v>
      </c>
    </row>
    <row r="47" spans="1:7" x14ac:dyDescent="0.25">
      <c r="A47" s="19" t="s">
        <v>525</v>
      </c>
      <c r="B47" s="19"/>
      <c r="C47" s="19"/>
      <c r="D47" s="19"/>
      <c r="E47" s="19"/>
      <c r="F47" s="19"/>
      <c r="G47" s="19"/>
    </row>
    <row r="48" spans="1:7" ht="18" x14ac:dyDescent="0.35">
      <c r="A48" s="24" t="s">
        <v>245</v>
      </c>
      <c r="B48" s="24"/>
      <c r="C48" s="24"/>
      <c r="D48" s="24"/>
      <c r="E48" t="s">
        <v>575</v>
      </c>
      <c r="F48" s="3">
        <f>'Spese e costi unitari'!$F$16*'Consumo e spesa'!F18</f>
        <v>209.93594235689554</v>
      </c>
      <c r="G48" t="s">
        <v>31</v>
      </c>
    </row>
    <row r="49" spans="1:7" ht="18" x14ac:dyDescent="0.35">
      <c r="A49" s="24" t="s">
        <v>246</v>
      </c>
      <c r="B49" s="24"/>
      <c r="C49" s="24"/>
      <c r="D49" s="24"/>
      <c r="E49" t="s">
        <v>576</v>
      </c>
      <c r="F49">
        <f>'Spese e costi unitari'!$F$17*'Consumo e spesa'!F19</f>
        <v>107.86048886241282</v>
      </c>
      <c r="G49" t="s">
        <v>31</v>
      </c>
    </row>
    <row r="50" spans="1:7" ht="18" x14ac:dyDescent="0.35">
      <c r="A50" s="24" t="s">
        <v>247</v>
      </c>
      <c r="B50" s="24"/>
      <c r="C50" s="24"/>
      <c r="D50" s="24"/>
      <c r="E50" t="s">
        <v>577</v>
      </c>
      <c r="F50" s="3">
        <f>'Consumo e spesa'!$O$21*('Letture-mill. u.i.'!F141/1000)</f>
        <v>406.81521502570109</v>
      </c>
      <c r="G50" t="s">
        <v>31</v>
      </c>
    </row>
    <row r="51" spans="1:7" ht="18" x14ac:dyDescent="0.35">
      <c r="A51" s="24" t="s">
        <v>248</v>
      </c>
      <c r="B51" s="24"/>
      <c r="C51" s="24"/>
      <c r="D51" s="24"/>
      <c r="E51" t="s">
        <v>578</v>
      </c>
      <c r="F51" s="3">
        <f>'Consumo e spesa'!$O$23*('Letture-mill. u.i.'!F142/1000)</f>
        <v>60.927237312480166</v>
      </c>
      <c r="G51" t="s">
        <v>31</v>
      </c>
    </row>
    <row r="52" spans="1:7" ht="18" x14ac:dyDescent="0.35">
      <c r="A52" s="24" t="s">
        <v>128</v>
      </c>
      <c r="B52" s="24"/>
      <c r="C52" s="24"/>
      <c r="D52" s="24"/>
      <c r="E52" t="s">
        <v>579</v>
      </c>
      <c r="F52" s="3">
        <f>F48+F50</f>
        <v>616.7511573825966</v>
      </c>
      <c r="G52" t="s">
        <v>31</v>
      </c>
    </row>
    <row r="53" spans="1:7" ht="18" x14ac:dyDescent="0.35">
      <c r="A53" s="24" t="s">
        <v>129</v>
      </c>
      <c r="B53" s="24"/>
      <c r="C53" s="24"/>
      <c r="D53" s="24"/>
      <c r="E53" t="s">
        <v>580</v>
      </c>
      <c r="F53" s="3">
        <f>F49+F51</f>
        <v>168.78772617489298</v>
      </c>
      <c r="G53" t="s">
        <v>31</v>
      </c>
    </row>
    <row r="54" spans="1:7" ht="18" x14ac:dyDescent="0.35">
      <c r="A54" s="24" t="s">
        <v>249</v>
      </c>
      <c r="B54" s="24"/>
      <c r="C54" s="24"/>
      <c r="D54" s="24"/>
      <c r="E54" t="s">
        <v>581</v>
      </c>
      <c r="F54" s="40">
        <f>F52+F53</f>
        <v>785.53888355748961</v>
      </c>
      <c r="G54" t="s">
        <v>31</v>
      </c>
    </row>
    <row r="56" spans="1:7" x14ac:dyDescent="0.25">
      <c r="A56" s="19" t="s">
        <v>526</v>
      </c>
      <c r="B56" s="19"/>
      <c r="C56" s="19"/>
      <c r="D56" s="19"/>
      <c r="E56" s="19"/>
      <c r="F56" s="19"/>
      <c r="G56" s="19"/>
    </row>
    <row r="57" spans="1:7" ht="18" x14ac:dyDescent="0.35">
      <c r="A57" s="24" t="s">
        <v>245</v>
      </c>
      <c r="B57" s="24"/>
      <c r="C57" s="24"/>
      <c r="D57" s="24"/>
      <c r="E57" t="s">
        <v>582</v>
      </c>
      <c r="F57" s="3">
        <f>'Spese e costi unitari'!$F$16*'Consumo e spesa'!F21</f>
        <v>41.516139960291191</v>
      </c>
      <c r="G57" t="s">
        <v>31</v>
      </c>
    </row>
    <row r="58" spans="1:7" ht="18" x14ac:dyDescent="0.35">
      <c r="A58" s="24" t="s">
        <v>246</v>
      </c>
      <c r="B58" s="24"/>
      <c r="C58" s="24"/>
      <c r="D58" s="24"/>
      <c r="E58" t="s">
        <v>583</v>
      </c>
      <c r="F58">
        <f>'Spese e costi unitari'!$F$17*'Consumo e spesa'!F22</f>
        <v>0</v>
      </c>
      <c r="G58" t="s">
        <v>31</v>
      </c>
    </row>
    <row r="59" spans="1:7" ht="18" x14ac:dyDescent="0.35">
      <c r="A59" s="24" t="s">
        <v>247</v>
      </c>
      <c r="B59" s="24"/>
      <c r="C59" s="24"/>
      <c r="D59" s="24"/>
      <c r="E59" t="s">
        <v>584</v>
      </c>
      <c r="F59" s="3">
        <f>'Consumo e spesa'!$O$21*('Letture-mill. u.i.'!F163/1000)</f>
        <v>356.59978494484193</v>
      </c>
      <c r="G59" t="s">
        <v>31</v>
      </c>
    </row>
    <row r="60" spans="1:7" ht="18" x14ac:dyDescent="0.35">
      <c r="A60" s="24" t="s">
        <v>248</v>
      </c>
      <c r="B60" s="24"/>
      <c r="C60" s="24"/>
      <c r="D60" s="24"/>
      <c r="E60" t="s">
        <v>585</v>
      </c>
      <c r="F60" s="3">
        <f>'Consumo e spesa'!$O$23*('Letture-mill. u.i.'!F164/1000)</f>
        <v>4.8515697280134971</v>
      </c>
      <c r="G60" t="s">
        <v>31</v>
      </c>
    </row>
    <row r="61" spans="1:7" ht="18" x14ac:dyDescent="0.35">
      <c r="A61" s="24" t="s">
        <v>128</v>
      </c>
      <c r="B61" s="24"/>
      <c r="C61" s="24"/>
      <c r="D61" s="24"/>
      <c r="E61" t="s">
        <v>586</v>
      </c>
      <c r="F61" s="3">
        <f>F57+F59</f>
        <v>398.11592490513311</v>
      </c>
      <c r="G61" t="s">
        <v>31</v>
      </c>
    </row>
    <row r="62" spans="1:7" ht="18" x14ac:dyDescent="0.35">
      <c r="A62" s="24" t="s">
        <v>129</v>
      </c>
      <c r="B62" s="24"/>
      <c r="C62" s="24"/>
      <c r="D62" s="24"/>
      <c r="E62" t="s">
        <v>587</v>
      </c>
      <c r="F62" s="3">
        <f>F58+F60</f>
        <v>4.8515697280134971</v>
      </c>
      <c r="G62" t="s">
        <v>31</v>
      </c>
    </row>
    <row r="63" spans="1:7" ht="18" x14ac:dyDescent="0.35">
      <c r="A63" s="24" t="s">
        <v>249</v>
      </c>
      <c r="B63" s="24"/>
      <c r="C63" s="24"/>
      <c r="D63" s="24"/>
      <c r="E63" t="s">
        <v>588</v>
      </c>
      <c r="F63" s="40">
        <f>F61+F62</f>
        <v>402.9674946331466</v>
      </c>
      <c r="G63" t="s">
        <v>31</v>
      </c>
    </row>
    <row r="65" spans="1:7" x14ac:dyDescent="0.25">
      <c r="A65" s="19" t="s">
        <v>527</v>
      </c>
      <c r="B65" s="19"/>
      <c r="C65" s="19"/>
      <c r="D65" s="19"/>
      <c r="E65" s="19"/>
      <c r="F65" s="19"/>
      <c r="G65" s="19"/>
    </row>
    <row r="66" spans="1:7" ht="18" x14ac:dyDescent="0.35">
      <c r="A66" s="24" t="s">
        <v>245</v>
      </c>
      <c r="B66" s="24"/>
      <c r="C66" s="24"/>
      <c r="D66" s="24"/>
      <c r="E66" t="s">
        <v>589</v>
      </c>
      <c r="F66" s="3">
        <f>'Spese e costi unitari'!$F$16*'Consumo e spesa'!F24</f>
        <v>123.07140336305552</v>
      </c>
      <c r="G66" t="s">
        <v>31</v>
      </c>
    </row>
    <row r="67" spans="1:7" ht="18" x14ac:dyDescent="0.35">
      <c r="A67" s="24" t="s">
        <v>246</v>
      </c>
      <c r="B67" s="24"/>
      <c r="C67" s="24"/>
      <c r="D67" s="24"/>
      <c r="E67" t="s">
        <v>590</v>
      </c>
      <c r="F67">
        <f>'Spese e costi unitari'!$F$17*'Consumo e spesa'!F25</f>
        <v>90.250613129773981</v>
      </c>
      <c r="G67" t="s">
        <v>31</v>
      </c>
    </row>
    <row r="68" spans="1:7" ht="18" x14ac:dyDescent="0.35">
      <c r="A68" s="24" t="s">
        <v>247</v>
      </c>
      <c r="B68" s="24"/>
      <c r="C68" s="24"/>
      <c r="D68" s="24"/>
      <c r="E68" t="s">
        <v>591</v>
      </c>
      <c r="F68" s="3">
        <f>'Consumo e spesa'!$O$21*('Letture-mill. u.i.'!F191/1000)</f>
        <v>294.97175711833313</v>
      </c>
      <c r="G68" t="s">
        <v>31</v>
      </c>
    </row>
    <row r="69" spans="1:7" ht="18" x14ac:dyDescent="0.35">
      <c r="A69" s="24" t="s">
        <v>248</v>
      </c>
      <c r="B69" s="24"/>
      <c r="C69" s="24"/>
      <c r="D69" s="24"/>
      <c r="E69" t="s">
        <v>592</v>
      </c>
      <c r="F69" s="3">
        <f>'Consumo e spesa'!$O$23*('Letture-mill. u.i.'!F192/1000)</f>
        <v>50.187840244644462</v>
      </c>
      <c r="G69" t="s">
        <v>31</v>
      </c>
    </row>
    <row r="70" spans="1:7" ht="18" x14ac:dyDescent="0.35">
      <c r="A70" s="24" t="s">
        <v>128</v>
      </c>
      <c r="B70" s="24"/>
      <c r="C70" s="24"/>
      <c r="D70" s="24"/>
      <c r="E70" t="s">
        <v>593</v>
      </c>
      <c r="F70" s="3">
        <f>F66+F68</f>
        <v>418.04316048138867</v>
      </c>
      <c r="G70" t="s">
        <v>31</v>
      </c>
    </row>
    <row r="71" spans="1:7" ht="18" x14ac:dyDescent="0.35">
      <c r="A71" s="24" t="s">
        <v>129</v>
      </c>
      <c r="B71" s="24"/>
      <c r="C71" s="24"/>
      <c r="D71" s="24"/>
      <c r="E71" t="s">
        <v>594</v>
      </c>
      <c r="F71" s="3">
        <f>F67+F69</f>
        <v>140.43845337441843</v>
      </c>
      <c r="G71" t="s">
        <v>31</v>
      </c>
    </row>
    <row r="72" spans="1:7" ht="18" x14ac:dyDescent="0.35">
      <c r="A72" s="24" t="s">
        <v>249</v>
      </c>
      <c r="B72" s="24"/>
      <c r="C72" s="24"/>
      <c r="D72" s="24"/>
      <c r="E72" t="s">
        <v>595</v>
      </c>
      <c r="F72" s="40">
        <f>F70+F71</f>
        <v>558.48161385580715</v>
      </c>
      <c r="G72" t="s">
        <v>31</v>
      </c>
    </row>
    <row r="74" spans="1:7" x14ac:dyDescent="0.25">
      <c r="A74" s="19" t="s">
        <v>528</v>
      </c>
      <c r="B74" s="19"/>
      <c r="C74" s="19"/>
      <c r="D74" s="19"/>
      <c r="E74" s="19"/>
      <c r="F74" s="19"/>
      <c r="G74" s="19"/>
    </row>
    <row r="75" spans="1:7" ht="18" x14ac:dyDescent="0.35">
      <c r="A75" s="24" t="s">
        <v>245</v>
      </c>
      <c r="B75" s="24"/>
      <c r="C75" s="24"/>
      <c r="D75" s="24"/>
      <c r="E75" t="s">
        <v>596</v>
      </c>
      <c r="F75" s="3">
        <f>'Spese e costi unitari'!$F$16*'Consumo e spesa'!F27</f>
        <v>272.92870087356812</v>
      </c>
      <c r="G75" t="s">
        <v>31</v>
      </c>
    </row>
    <row r="76" spans="1:7" ht="18" x14ac:dyDescent="0.35">
      <c r="A76" s="24" t="s">
        <v>246</v>
      </c>
      <c r="B76" s="24"/>
      <c r="C76" s="24"/>
      <c r="D76" s="24"/>
      <c r="E76" t="s">
        <v>597</v>
      </c>
      <c r="F76">
        <f>'Spese e costi unitari'!$F$17*'Consumo e spesa'!F28</f>
        <v>123.26913012847177</v>
      </c>
      <c r="G76" t="s">
        <v>31</v>
      </c>
    </row>
    <row r="77" spans="1:7" ht="18" x14ac:dyDescent="0.35">
      <c r="A77" s="24" t="s">
        <v>247</v>
      </c>
      <c r="B77" s="24"/>
      <c r="C77" s="24"/>
      <c r="D77" s="24"/>
      <c r="E77" t="s">
        <v>598</v>
      </c>
      <c r="F77" s="3">
        <f>'Consumo e spesa'!$O$21*('Letture-mill. u.i.'!F213/1000)</f>
        <v>506.89491833370693</v>
      </c>
      <c r="G77" t="s">
        <v>31</v>
      </c>
    </row>
    <row r="78" spans="1:7" ht="18" x14ac:dyDescent="0.35">
      <c r="A78" s="24" t="s">
        <v>248</v>
      </c>
      <c r="B78" s="24"/>
      <c r="C78" s="24"/>
      <c r="D78" s="24"/>
      <c r="E78" t="s">
        <v>599</v>
      </c>
      <c r="F78" s="3">
        <f>'Consumo e spesa'!$O$23*('Letture-mill. u.i.'!F214/1000)</f>
        <v>59.396402204126396</v>
      </c>
      <c r="G78" t="s">
        <v>31</v>
      </c>
    </row>
    <row r="79" spans="1:7" ht="18" x14ac:dyDescent="0.35">
      <c r="A79" s="24" t="s">
        <v>128</v>
      </c>
      <c r="B79" s="24"/>
      <c r="C79" s="24"/>
      <c r="D79" s="24"/>
      <c r="E79" t="s">
        <v>600</v>
      </c>
      <c r="F79" s="3">
        <f>F75+F77</f>
        <v>779.82361920727499</v>
      </c>
      <c r="G79" t="s">
        <v>31</v>
      </c>
    </row>
    <row r="80" spans="1:7" ht="18" x14ac:dyDescent="0.35">
      <c r="A80" s="24" t="s">
        <v>129</v>
      </c>
      <c r="B80" s="24"/>
      <c r="C80" s="24"/>
      <c r="D80" s="24"/>
      <c r="E80" t="s">
        <v>601</v>
      </c>
      <c r="F80" s="3">
        <f>F76+F78</f>
        <v>182.66553233259816</v>
      </c>
      <c r="G80" t="s">
        <v>31</v>
      </c>
    </row>
    <row r="81" spans="1:15" ht="18" x14ac:dyDescent="0.35">
      <c r="A81" s="24" t="s">
        <v>249</v>
      </c>
      <c r="B81" s="24"/>
      <c r="C81" s="24"/>
      <c r="D81" s="24"/>
      <c r="E81" t="s">
        <v>602</v>
      </c>
      <c r="F81" s="3">
        <f>F79+F80</f>
        <v>962.48915153987309</v>
      </c>
      <c r="G81" t="s">
        <v>31</v>
      </c>
    </row>
    <row r="83" spans="1:15" x14ac:dyDescent="0.25">
      <c r="A83" s="19" t="s">
        <v>529</v>
      </c>
      <c r="B83" s="19"/>
      <c r="C83" s="19"/>
      <c r="D83" s="19"/>
      <c r="E83" s="19"/>
      <c r="F83" s="19"/>
      <c r="G83" s="19"/>
    </row>
    <row r="84" spans="1:15" ht="18" x14ac:dyDescent="0.35">
      <c r="A84" s="24" t="s">
        <v>245</v>
      </c>
      <c r="B84" s="24"/>
      <c r="C84" s="24"/>
      <c r="D84" s="24"/>
      <c r="E84" t="s">
        <v>603</v>
      </c>
      <c r="F84" s="3">
        <f>'Spese e costi unitari'!$F$16*'Consumo e spesa'!F30</f>
        <v>464.42189644041122</v>
      </c>
      <c r="G84" t="s">
        <v>31</v>
      </c>
    </row>
    <row r="85" spans="1:15" ht="18" x14ac:dyDescent="0.35">
      <c r="A85" s="24" t="s">
        <v>246</v>
      </c>
      <c r="B85" s="24"/>
      <c r="C85" s="24"/>
      <c r="D85" s="24"/>
      <c r="E85" t="s">
        <v>604</v>
      </c>
      <c r="F85">
        <f>'Spese e costi unitari'!$F$17*'Consumo e spesa'!F31</f>
        <v>28.616048065538092</v>
      </c>
      <c r="G85" t="s">
        <v>31</v>
      </c>
    </row>
    <row r="86" spans="1:15" ht="18" x14ac:dyDescent="0.35">
      <c r="A86" s="24" t="s">
        <v>247</v>
      </c>
      <c r="B86" s="24"/>
      <c r="C86" s="24"/>
      <c r="D86" s="24"/>
      <c r="E86" t="s">
        <v>605</v>
      </c>
      <c r="F86" s="3">
        <f>'Consumo e spesa'!$O$21*('Letture-mill. u.i.'!F237/1000)</f>
        <v>357.82883393283504</v>
      </c>
      <c r="G86" t="s">
        <v>31</v>
      </c>
    </row>
    <row r="87" spans="1:15" ht="18" x14ac:dyDescent="0.35">
      <c r="A87" s="24" t="s">
        <v>248</v>
      </c>
      <c r="B87" s="24"/>
      <c r="C87" s="24"/>
      <c r="D87" s="24"/>
      <c r="E87" t="s">
        <v>609</v>
      </c>
      <c r="F87" s="3">
        <f>'Consumo e spesa'!$O$23*('Letture-mill. u.i.'!F238/1000)</f>
        <v>60.291351959779369</v>
      </c>
      <c r="G87" t="s">
        <v>31</v>
      </c>
    </row>
    <row r="88" spans="1:15" ht="18" x14ac:dyDescent="0.35">
      <c r="A88" s="24" t="s">
        <v>128</v>
      </c>
      <c r="B88" s="24"/>
      <c r="C88" s="24"/>
      <c r="D88" s="24"/>
      <c r="E88" t="s">
        <v>608</v>
      </c>
      <c r="F88" s="3">
        <f>F84+F86</f>
        <v>822.25073037324626</v>
      </c>
      <c r="G88" t="s">
        <v>31</v>
      </c>
    </row>
    <row r="89" spans="1:15" ht="18" x14ac:dyDescent="0.35">
      <c r="A89" s="24" t="s">
        <v>129</v>
      </c>
      <c r="B89" s="24"/>
      <c r="C89" s="24"/>
      <c r="D89" s="24"/>
      <c r="E89" t="s">
        <v>607</v>
      </c>
      <c r="F89" s="3">
        <f>F85+F87</f>
        <v>88.907400025317457</v>
      </c>
      <c r="G89" t="s">
        <v>31</v>
      </c>
    </row>
    <row r="90" spans="1:15" ht="18" x14ac:dyDescent="0.35">
      <c r="A90" s="24" t="s">
        <v>249</v>
      </c>
      <c r="B90" s="24"/>
      <c r="C90" s="24"/>
      <c r="D90" s="24"/>
      <c r="E90" t="s">
        <v>606</v>
      </c>
      <c r="F90" s="40">
        <f>F88+F89</f>
        <v>911.15813039856369</v>
      </c>
      <c r="G90" t="s">
        <v>31</v>
      </c>
    </row>
    <row r="92" spans="1:15" x14ac:dyDescent="0.25">
      <c r="A92" s="19" t="s">
        <v>740</v>
      </c>
      <c r="B92" s="19"/>
      <c r="C92" s="19"/>
      <c r="D92" s="19"/>
      <c r="E92" s="19"/>
      <c r="F92" s="19"/>
      <c r="G92" s="19"/>
      <c r="K92" s="11"/>
      <c r="L92" s="23" t="s">
        <v>614</v>
      </c>
      <c r="M92" s="23"/>
      <c r="N92" s="23"/>
      <c r="O92" s="23"/>
    </row>
    <row r="93" spans="1:15" ht="18" x14ac:dyDescent="0.35">
      <c r="A93" s="24" t="s">
        <v>245</v>
      </c>
      <c r="B93" s="24"/>
      <c r="C93" s="24"/>
      <c r="D93" s="24"/>
      <c r="E93" t="s">
        <v>603</v>
      </c>
      <c r="F93" s="3">
        <f>'Spese e costi unitari'!$F$16*'Consumo e spesa'!F33</f>
        <v>1075.0684281448096</v>
      </c>
      <c r="G93" t="s">
        <v>31</v>
      </c>
      <c r="K93" s="12"/>
      <c r="L93" s="23" t="s">
        <v>615</v>
      </c>
      <c r="M93" s="23"/>
      <c r="N93" s="23"/>
      <c r="O93" s="23"/>
    </row>
    <row r="94" spans="1:15" ht="18" x14ac:dyDescent="0.35">
      <c r="A94" s="24" t="s">
        <v>246</v>
      </c>
      <c r="B94" s="24"/>
      <c r="C94" s="24"/>
      <c r="D94" s="24"/>
      <c r="E94" t="s">
        <v>604</v>
      </c>
      <c r="F94">
        <f>'Spese e costi unitari'!$F$17*'Consumo e spesa'!F34</f>
        <v>162.89135052690912</v>
      </c>
      <c r="G94" t="s">
        <v>31</v>
      </c>
    </row>
    <row r="95" spans="1:15" ht="18" x14ac:dyDescent="0.35">
      <c r="A95" s="24" t="s">
        <v>247</v>
      </c>
      <c r="B95" s="24"/>
      <c r="C95" s="24"/>
      <c r="D95" s="24"/>
      <c r="E95" t="s">
        <v>605</v>
      </c>
      <c r="F95" s="3">
        <f>'Consumo e spesa'!$O$21*('Ripart. u.i.'!N14/1000)</f>
        <v>297.78101194803151</v>
      </c>
      <c r="G95" t="s">
        <v>31</v>
      </c>
    </row>
    <row r="96" spans="1:15" ht="18" x14ac:dyDescent="0.35">
      <c r="A96" s="24" t="s">
        <v>248</v>
      </c>
      <c r="B96" s="24"/>
      <c r="C96" s="24"/>
      <c r="D96" s="24"/>
      <c r="E96" t="s">
        <v>609</v>
      </c>
      <c r="F96" s="3">
        <f>'Consumo e spesa'!$O$23*('Ripart. u.i.'!O14/1000)</f>
        <v>50.258494172722337</v>
      </c>
      <c r="G96" t="s">
        <v>31</v>
      </c>
    </row>
    <row r="97" spans="1:7" ht="18" x14ac:dyDescent="0.35">
      <c r="A97" s="24" t="s">
        <v>128</v>
      </c>
      <c r="B97" s="24"/>
      <c r="C97" s="24"/>
      <c r="D97" s="24"/>
      <c r="E97" t="s">
        <v>608</v>
      </c>
      <c r="F97" s="3">
        <f>F93+F95</f>
        <v>1372.8494400928412</v>
      </c>
      <c r="G97" t="s">
        <v>31</v>
      </c>
    </row>
    <row r="98" spans="1:7" ht="18" x14ac:dyDescent="0.35">
      <c r="A98" s="24" t="s">
        <v>129</v>
      </c>
      <c r="B98" s="24"/>
      <c r="C98" s="24"/>
      <c r="D98" s="24"/>
      <c r="E98" t="s">
        <v>607</v>
      </c>
      <c r="F98" s="3">
        <f>F94+F96</f>
        <v>213.14984469963144</v>
      </c>
      <c r="G98" t="s">
        <v>31</v>
      </c>
    </row>
    <row r="99" spans="1:7" ht="18" x14ac:dyDescent="0.35">
      <c r="A99" s="24" t="s">
        <v>249</v>
      </c>
      <c r="B99" s="24"/>
      <c r="C99" s="24"/>
      <c r="D99" s="24"/>
      <c r="E99" t="s">
        <v>606</v>
      </c>
      <c r="F99" s="3">
        <f>F97+F98</f>
        <v>1585.9992847924727</v>
      </c>
      <c r="G99" t="s">
        <v>31</v>
      </c>
    </row>
  </sheetData>
  <mergeCells count="91">
    <mergeCell ref="A99:D99"/>
    <mergeCell ref="A94:D94"/>
    <mergeCell ref="A95:D95"/>
    <mergeCell ref="A96:D96"/>
    <mergeCell ref="A97:D97"/>
    <mergeCell ref="A98:D98"/>
    <mergeCell ref="A13:D13"/>
    <mergeCell ref="A2:G2"/>
    <mergeCell ref="A3:D3"/>
    <mergeCell ref="A1:G1"/>
    <mergeCell ref="A4:D4"/>
    <mergeCell ref="A5:D5"/>
    <mergeCell ref="A6:D6"/>
    <mergeCell ref="A7:D7"/>
    <mergeCell ref="A8:D8"/>
    <mergeCell ref="A9:D9"/>
    <mergeCell ref="A11:G11"/>
    <mergeCell ref="A12:D12"/>
    <mergeCell ref="A26:D26"/>
    <mergeCell ref="A14:D14"/>
    <mergeCell ref="A15:D15"/>
    <mergeCell ref="A16:D16"/>
    <mergeCell ref="A17:D17"/>
    <mergeCell ref="A18:D18"/>
    <mergeCell ref="A20:G20"/>
    <mergeCell ref="A21:D21"/>
    <mergeCell ref="A22:D22"/>
    <mergeCell ref="A23:D23"/>
    <mergeCell ref="A24:D24"/>
    <mergeCell ref="A25:D25"/>
    <mergeCell ref="A34:D34"/>
    <mergeCell ref="A35:D35"/>
    <mergeCell ref="A36:D36"/>
    <mergeCell ref="A27:D27"/>
    <mergeCell ref="A29:G29"/>
    <mergeCell ref="A30:D30"/>
    <mergeCell ref="A31:D31"/>
    <mergeCell ref="A32:D32"/>
    <mergeCell ref="A33:D33"/>
    <mergeCell ref="A38:G38"/>
    <mergeCell ref="A39:D39"/>
    <mergeCell ref="A40:D40"/>
    <mergeCell ref="A41:D41"/>
    <mergeCell ref="A42:D42"/>
    <mergeCell ref="A43:D43"/>
    <mergeCell ref="A44:D44"/>
    <mergeCell ref="A45:D45"/>
    <mergeCell ref="A47:G47"/>
    <mergeCell ref="A48:D48"/>
    <mergeCell ref="A49:D49"/>
    <mergeCell ref="A50:D50"/>
    <mergeCell ref="A51:D51"/>
    <mergeCell ref="A52:D52"/>
    <mergeCell ref="A53:D53"/>
    <mergeCell ref="A54:D54"/>
    <mergeCell ref="A56:G56"/>
    <mergeCell ref="A57:D57"/>
    <mergeCell ref="A58:D58"/>
    <mergeCell ref="A59:D59"/>
    <mergeCell ref="A60:D60"/>
    <mergeCell ref="A61:D61"/>
    <mergeCell ref="A62:D62"/>
    <mergeCell ref="A63:D63"/>
    <mergeCell ref="A65:G65"/>
    <mergeCell ref="A66:D66"/>
    <mergeCell ref="A67:D67"/>
    <mergeCell ref="A68:D68"/>
    <mergeCell ref="A69:D69"/>
    <mergeCell ref="A70:D70"/>
    <mergeCell ref="A71:D71"/>
    <mergeCell ref="A72:D72"/>
    <mergeCell ref="A74:G74"/>
    <mergeCell ref="A75:D75"/>
    <mergeCell ref="A76:D76"/>
    <mergeCell ref="A77:D77"/>
    <mergeCell ref="A78:D78"/>
    <mergeCell ref="A79:D79"/>
    <mergeCell ref="A80:D80"/>
    <mergeCell ref="A81:D81"/>
    <mergeCell ref="A83:G83"/>
    <mergeCell ref="A84:D84"/>
    <mergeCell ref="A85:D85"/>
    <mergeCell ref="A86:D86"/>
    <mergeCell ref="A87:D87"/>
    <mergeCell ref="L92:O92"/>
    <mergeCell ref="L93:O93"/>
    <mergeCell ref="A88:D88"/>
    <mergeCell ref="A89:D89"/>
    <mergeCell ref="A90:D90"/>
    <mergeCell ref="A92:G92"/>
    <mergeCell ref="A93:D93"/>
  </mergeCells>
  <pageMargins left="0.7" right="0.7" top="0.75" bottom="0.75" header="0.3" footer="0.3"/>
  <pageSetup paperSize="9" scale="4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1"/>
  <sheetViews>
    <sheetView topLeftCell="A34" workbookViewId="0">
      <selection activeCell="A49" sqref="A49:K49"/>
    </sheetView>
  </sheetViews>
  <sheetFormatPr defaultRowHeight="15" x14ac:dyDescent="0.25"/>
  <cols>
    <col min="1" max="1" width="22.42578125" bestFit="1" customWidth="1"/>
    <col min="2" max="2" width="9.5703125" style="18" bestFit="1" customWidth="1"/>
    <col min="3" max="3" width="9.28515625" style="18" bestFit="1" customWidth="1"/>
    <col min="4" max="4" width="10" style="18" customWidth="1"/>
    <col min="5" max="5" width="11.140625" style="18" bestFit="1" customWidth="1"/>
    <col min="6" max="6" width="11" style="18" customWidth="1"/>
    <col min="7" max="7" width="8.28515625" style="18" bestFit="1" customWidth="1"/>
    <col min="8" max="8" width="8" style="18" customWidth="1"/>
    <col min="9" max="9" width="14" style="18" customWidth="1"/>
    <col min="10" max="10" width="10.5703125" style="18" bestFit="1" customWidth="1"/>
    <col min="11" max="11" width="12.5703125" style="18" bestFit="1" customWidth="1"/>
    <col min="13" max="13" width="9.5703125" bestFit="1" customWidth="1"/>
  </cols>
  <sheetData>
    <row r="2" spans="1:13" s="37" customFormat="1" ht="45" x14ac:dyDescent="0.25">
      <c r="A2" s="37" t="s">
        <v>683</v>
      </c>
      <c r="B2" s="37" t="s">
        <v>684</v>
      </c>
      <c r="C2" s="37" t="s">
        <v>685</v>
      </c>
      <c r="D2" s="38" t="s">
        <v>686</v>
      </c>
      <c r="E2" s="38" t="s">
        <v>687</v>
      </c>
      <c r="F2" s="38" t="s">
        <v>688</v>
      </c>
      <c r="G2" s="37" t="s">
        <v>689</v>
      </c>
      <c r="H2" s="38" t="s">
        <v>690</v>
      </c>
      <c r="I2" s="38" t="s">
        <v>737</v>
      </c>
      <c r="J2" s="38" t="s">
        <v>691</v>
      </c>
      <c r="K2" s="37" t="s">
        <v>682</v>
      </c>
    </row>
    <row r="3" spans="1:13" x14ac:dyDescent="0.25">
      <c r="A3" s="31" t="s">
        <v>692</v>
      </c>
      <c r="B3" s="32">
        <v>7</v>
      </c>
      <c r="C3" s="43">
        <v>24.02</v>
      </c>
      <c r="D3" s="43">
        <v>25.78</v>
      </c>
      <c r="E3" s="44">
        <f>'Consumo e spesa'!F3</f>
        <v>1717.9043017757922</v>
      </c>
      <c r="F3" s="43">
        <f>'Consumo e spesa'!F4</f>
        <v>1380.4559999999997</v>
      </c>
      <c r="G3" s="43">
        <v>5168</v>
      </c>
      <c r="H3" s="43">
        <v>36</v>
      </c>
      <c r="I3" s="45">
        <f>('Spese e costi unitari'!$F$16*'Consumo e spesa'!F3)+('Consumo e spesa'!$O$21*('Ripart. u.i.'!N4/1000))</f>
        <v>628.04266141884386</v>
      </c>
      <c r="J3" s="45">
        <f>('Spese e costi unitari'!$F$17*'Consumo e spesa'!F4)+('Consumo e spesa'!$O$23*('Ripart. u.i.'!O4/1000))</f>
        <v>139.95971632512129</v>
      </c>
      <c r="K3" s="46">
        <f>I3+J3</f>
        <v>768.0023777439651</v>
      </c>
      <c r="L3" s="41"/>
      <c r="M3" s="30"/>
    </row>
    <row r="4" spans="1:13" ht="18" x14ac:dyDescent="0.25">
      <c r="A4" s="36" t="s">
        <v>693</v>
      </c>
      <c r="B4" s="32">
        <v>6</v>
      </c>
      <c r="C4" s="43">
        <v>16.670000000000002</v>
      </c>
      <c r="D4" s="43">
        <v>21.4</v>
      </c>
      <c r="E4" s="44">
        <f>'Consumo e spesa'!F6</f>
        <v>3209.1037401980452</v>
      </c>
      <c r="F4" s="43">
        <f>'Consumo e spesa'!F7</f>
        <v>881.95799999999986</v>
      </c>
      <c r="G4" s="43">
        <v>9654</v>
      </c>
      <c r="H4" s="43">
        <v>23</v>
      </c>
      <c r="I4" s="45">
        <f>('Spese e costi unitari'!$F$16*'Consumo e spesa'!F6)+('Consumo e spesa'!$O$21*('Ripart. u.i.'!N5/1000))</f>
        <v>678.07079062367529</v>
      </c>
      <c r="J4" s="45">
        <f>('Spese e costi unitari'!$F$17*'Consumo e spesa'!F7)+('Consumo e spesa'!$O$23*('Ripart. u.i.'!O5/1000))</f>
        <v>101.02819476021469</v>
      </c>
      <c r="K4" s="46">
        <f t="shared" ref="K4:K47" si="0">I4+J4</f>
        <v>779.09898538388995</v>
      </c>
      <c r="L4" s="41"/>
    </row>
    <row r="5" spans="1:13" x14ac:dyDescent="0.25">
      <c r="A5" s="31" t="s">
        <v>694</v>
      </c>
      <c r="B5" s="32">
        <v>6</v>
      </c>
      <c r="C5" s="43">
        <v>19.59</v>
      </c>
      <c r="D5" s="43">
        <v>21.32</v>
      </c>
      <c r="E5" s="44">
        <f>'Consumo e spesa'!F9</f>
        <v>1144.1614951068648</v>
      </c>
      <c r="F5" s="43">
        <f>'Consumo e spesa'!F10</f>
        <v>1150.3799999999997</v>
      </c>
      <c r="G5" s="43">
        <v>3442</v>
      </c>
      <c r="H5" s="43">
        <v>30</v>
      </c>
      <c r="I5" s="45">
        <f>('Spese e costi unitari'!$F$16*'Consumo e spesa'!F9)+('Consumo e spesa'!$O$21*('Ripart. u.i.'!N6/1000))</f>
        <v>481.3605937336244</v>
      </c>
      <c r="J5" s="45">
        <f>('Spese e costi unitari'!$F$17*'Consumo e spesa'!F10)+('Consumo e spesa'!$O$23*('Ripart. u.i.'!O6/1000))</f>
        <v>116.24842555139934</v>
      </c>
      <c r="K5" s="46">
        <f t="shared" si="0"/>
        <v>597.60901928502369</v>
      </c>
      <c r="L5" s="41"/>
    </row>
    <row r="6" spans="1:13" x14ac:dyDescent="0.25">
      <c r="A6" s="31" t="s">
        <v>695</v>
      </c>
      <c r="B6" s="32">
        <v>6</v>
      </c>
      <c r="C6" s="43">
        <v>18.5</v>
      </c>
      <c r="D6" s="43">
        <v>21.37</v>
      </c>
      <c r="E6" s="44">
        <f>'Consumo e spesa'!F12</f>
        <v>1482.8891428447776</v>
      </c>
      <c r="F6" s="43">
        <f>'Consumo e spesa'!F13</f>
        <v>2185.7219999999998</v>
      </c>
      <c r="G6" s="43">
        <v>4461</v>
      </c>
      <c r="H6" s="43">
        <v>57</v>
      </c>
      <c r="I6" s="45">
        <f>('Spese e costi unitari'!$F$16*'Consumo e spesa'!F12)+('Consumo e spesa'!$O$21*('Ripart. u.i.'!N7/1000))</f>
        <v>502.90037849432002</v>
      </c>
      <c r="J6" s="45">
        <f>('Spese e costi unitari'!$F$17*'Consumo e spesa'!F13)+('Consumo e spesa'!$O$23*('Ripart. u.i.'!O7/1000))</f>
        <v>175.79951269585183</v>
      </c>
      <c r="K6" s="46">
        <f t="shared" si="0"/>
        <v>678.69989119017191</v>
      </c>
      <c r="L6" s="41"/>
    </row>
    <row r="7" spans="1:13" x14ac:dyDescent="0.25">
      <c r="A7" s="31" t="s">
        <v>696</v>
      </c>
      <c r="B7" s="32">
        <v>6</v>
      </c>
      <c r="C7" s="43">
        <v>17.07</v>
      </c>
      <c r="D7" s="43">
        <v>21.4</v>
      </c>
      <c r="E7" s="44">
        <f>'Consumo e spesa'!F15</f>
        <v>2193.2532088074067</v>
      </c>
      <c r="F7" s="43">
        <f>'Consumo e spesa'!F16</f>
        <v>1878.954</v>
      </c>
      <c r="G7" s="43">
        <v>6598</v>
      </c>
      <c r="H7" s="43">
        <v>49</v>
      </c>
      <c r="I7" s="45">
        <f>('Spese e costi unitari'!$F$16*'Consumo e spesa'!F15)+('Consumo e spesa'!$O$21*('Ripart. u.i.'!N8/1000))</f>
        <v>563.10034719921964</v>
      </c>
      <c r="J7" s="45">
        <f>('Spese e costi unitari'!$F$17*'Consumo e spesa'!F16)+('Consumo e spesa'!$O$23*('Ripart. u.i.'!O8/1000))</f>
        <v>158.26029089129088</v>
      </c>
      <c r="K7" s="46">
        <f t="shared" si="0"/>
        <v>721.36063809051052</v>
      </c>
      <c r="L7" s="41"/>
    </row>
    <row r="8" spans="1:13" x14ac:dyDescent="0.25">
      <c r="A8" s="31" t="s">
        <v>697</v>
      </c>
      <c r="B8" s="32">
        <v>7</v>
      </c>
      <c r="C8" s="43">
        <v>23.17</v>
      </c>
      <c r="D8" s="43">
        <v>25.87</v>
      </c>
      <c r="E8" s="44">
        <f>'Consumo e spesa'!F18</f>
        <v>1748.1537776778041</v>
      </c>
      <c r="F8" s="43">
        <f>'Consumo e spesa'!F19</f>
        <v>1878.954</v>
      </c>
      <c r="G8" s="43">
        <v>5259</v>
      </c>
      <c r="H8" s="43">
        <v>49</v>
      </c>
      <c r="I8" s="45">
        <f>('Spese e costi unitari'!$F$16*'Consumo e spesa'!F18)+('Consumo e spesa'!$O$21*('Ripart. u.i.'!N9/1000))</f>
        <v>616.7511573825966</v>
      </c>
      <c r="J8" s="45">
        <f>('Spese e costi unitari'!$F$17*'Consumo e spesa'!F19)+('Consumo e spesa'!$O$23*('Ripart. u.i.'!O9/1000))</f>
        <v>168.78772617489298</v>
      </c>
      <c r="K8" s="46">
        <f t="shared" si="0"/>
        <v>785.53888355748961</v>
      </c>
      <c r="L8" s="41"/>
    </row>
    <row r="9" spans="1:13" x14ac:dyDescent="0.25">
      <c r="A9" s="31" t="s">
        <v>698</v>
      </c>
      <c r="B9" s="32">
        <v>5</v>
      </c>
      <c r="C9" s="43">
        <v>20.309999999999999</v>
      </c>
      <c r="D9" s="43">
        <v>2.06</v>
      </c>
      <c r="E9" s="44">
        <f>'Consumo e spesa'!F21</f>
        <v>345.70829602299227</v>
      </c>
      <c r="F9" s="43">
        <f>'Consumo e spesa'!F22</f>
        <v>0</v>
      </c>
      <c r="G9" s="43">
        <v>1040</v>
      </c>
      <c r="H9" s="43">
        <v>0</v>
      </c>
      <c r="I9" s="45">
        <f>('Spese e costi unitari'!$F$16*'Consumo e spesa'!F21)+('Consumo e spesa'!$O$21*('Ripart. u.i.'!N10/1000))</f>
        <v>398.11592490513311</v>
      </c>
      <c r="J9" s="45">
        <f>('Spese e costi unitari'!$F$17*'Consumo e spesa'!F22)+('Consumo e spesa'!$O$23*('Ripart. u.i.'!O10/1000))</f>
        <v>4.8515697280134971</v>
      </c>
      <c r="K9" s="46">
        <f t="shared" si="0"/>
        <v>402.9674946331466</v>
      </c>
      <c r="L9" s="41"/>
    </row>
    <row r="10" spans="1:13" x14ac:dyDescent="0.25">
      <c r="A10" s="31" t="s">
        <v>699</v>
      </c>
      <c r="B10" s="32">
        <v>6</v>
      </c>
      <c r="C10" s="43">
        <v>16.8</v>
      </c>
      <c r="D10" s="43">
        <v>21.31</v>
      </c>
      <c r="E10" s="44">
        <f>'Consumo e spesa'!F24</f>
        <v>1024.8256506143127</v>
      </c>
      <c r="F10" s="43">
        <f>'Consumo e spesa'!F25</f>
        <v>1572.1859999999999</v>
      </c>
      <c r="G10" s="43">
        <v>3083</v>
      </c>
      <c r="H10" s="43">
        <v>41</v>
      </c>
      <c r="I10" s="45">
        <f>('Spese e costi unitari'!$F$16*'Consumo e spesa'!F24)+('Consumo e spesa'!$O$21*('Ripart. u.i.'!N11/1000))</f>
        <v>418.04316048138867</v>
      </c>
      <c r="J10" s="45">
        <f>('Spese e costi unitari'!$F$17*'Consumo e spesa'!F25)+('Consumo e spesa'!$O$23*('Ripart. u.i.'!O11/1000))</f>
        <v>140.43845337441843</v>
      </c>
      <c r="K10" s="46">
        <f t="shared" si="0"/>
        <v>558.48161385580715</v>
      </c>
      <c r="L10" s="41"/>
    </row>
    <row r="11" spans="1:13" x14ac:dyDescent="0.25">
      <c r="A11" s="31" t="s">
        <v>700</v>
      </c>
      <c r="B11" s="32">
        <v>7</v>
      </c>
      <c r="C11" s="43">
        <v>28.87</v>
      </c>
      <c r="D11" s="43">
        <v>25.22</v>
      </c>
      <c r="E11" s="44">
        <f>'Consumo e spesa'!F27</f>
        <v>2272.699634528075</v>
      </c>
      <c r="F11" s="43">
        <f>'Consumo e spesa'!F28</f>
        <v>2147.3759999999997</v>
      </c>
      <c r="G11" s="43">
        <v>6837</v>
      </c>
      <c r="H11" s="43">
        <v>56</v>
      </c>
      <c r="I11" s="45">
        <f>('Spese e costi unitari'!$F$16*'Consumo e spesa'!F27)+('Consumo e spesa'!$O$21*('Ripart. u.i.'!N12/1000))</f>
        <v>779.82361920727499</v>
      </c>
      <c r="J11" s="45">
        <f>('Spese e costi unitari'!$F$17*'Consumo e spesa'!F28)+('Consumo e spesa'!$O$23*('Ripart. u.i.'!O12/1000))</f>
        <v>182.66553233259816</v>
      </c>
      <c r="K11" s="46">
        <f t="shared" si="0"/>
        <v>962.48915153987309</v>
      </c>
      <c r="L11" s="41"/>
    </row>
    <row r="12" spans="1:13" x14ac:dyDescent="0.25">
      <c r="A12" s="31" t="s">
        <v>701</v>
      </c>
      <c r="B12" s="32">
        <v>7</v>
      </c>
      <c r="C12" s="43">
        <v>20.38</v>
      </c>
      <c r="D12" s="43">
        <v>25.6</v>
      </c>
      <c r="E12" s="44">
        <f>'Consumo e spesa'!F30</f>
        <v>3867.279149934127</v>
      </c>
      <c r="F12" s="43">
        <f>'Consumo e spesa'!F31</f>
        <v>498.49799999999993</v>
      </c>
      <c r="G12" s="43">
        <v>11634</v>
      </c>
      <c r="H12" s="43">
        <v>13</v>
      </c>
      <c r="I12" s="45">
        <f>('Spese e costi unitari'!$F$16*'Consumo e spesa'!F30)+('Consumo e spesa'!$O$21*('Ripart. u.i.'!N13/1000))</f>
        <v>822.25073037324626</v>
      </c>
      <c r="J12" s="45">
        <f>('Spese e costi unitari'!$F$17*'Consumo e spesa'!F31)+('Consumo e spesa'!$O$23*('Ripart. u.i.'!O13/1000))</f>
        <v>88.907400025317457</v>
      </c>
      <c r="K12" s="46">
        <f t="shared" si="0"/>
        <v>911.15813039856369</v>
      </c>
      <c r="L12" s="41"/>
    </row>
    <row r="13" spans="1:13" x14ac:dyDescent="0.25">
      <c r="A13" s="31" t="s">
        <v>702</v>
      </c>
      <c r="B13" s="32">
        <v>6</v>
      </c>
      <c r="C13" s="43">
        <v>16.96</v>
      </c>
      <c r="D13" s="43">
        <v>21.34</v>
      </c>
      <c r="E13" s="44">
        <f>'Consumo e spesa'!F33</f>
        <v>8952.1828078800045</v>
      </c>
      <c r="F13" s="43">
        <f>'Consumo e spesa'!F34</f>
        <v>2837.6039999999994</v>
      </c>
      <c r="G13" s="43">
        <v>26931</v>
      </c>
      <c r="H13" s="43">
        <v>74</v>
      </c>
      <c r="I13" s="45">
        <f>('Spese e costi unitari'!$F$16*'Consumo e spesa'!F33)+('Consumo e spesa'!$O$21*('Ripart. u.i.'!N14/1000))</f>
        <v>1372.8494400928412</v>
      </c>
      <c r="J13" s="45">
        <f>('Spese e costi unitari'!$F$17*'Consumo e spesa'!F34)+('Consumo e spesa'!$O$23*('Ripart. u.i.'!O14/1000))</f>
        <v>213.14984469963144</v>
      </c>
      <c r="K13" s="46">
        <f t="shared" si="0"/>
        <v>1585.9992847924727</v>
      </c>
      <c r="L13" s="41"/>
    </row>
    <row r="14" spans="1:13" x14ac:dyDescent="0.25">
      <c r="A14" s="31" t="s">
        <v>703</v>
      </c>
      <c r="B14" s="32">
        <v>7</v>
      </c>
      <c r="C14" s="43">
        <v>18.86</v>
      </c>
      <c r="D14" s="43">
        <v>25.83</v>
      </c>
      <c r="E14" s="44">
        <f>'Consumo e spesa'!F36</f>
        <v>1019.8394732678271</v>
      </c>
      <c r="F14" s="43">
        <f>'Consumo e spesa'!F37</f>
        <v>1035.3419999999999</v>
      </c>
      <c r="G14" s="43">
        <v>3068</v>
      </c>
      <c r="H14" s="43">
        <v>27</v>
      </c>
      <c r="I14" s="45">
        <f>('Spese e costi unitari'!$F$16*'Consumo e spesa'!F36)+('Consumo e spesa'!$O$21*('Ripart. u.i.'!N15/1000))</f>
        <v>453.61352593355906</v>
      </c>
      <c r="J14" s="45">
        <f>('Spese e costi unitari'!$F$17*'Consumo e spesa'!F37)+('Consumo e spesa'!$O$23*('Ripart. u.i.'!O15/1000))</f>
        <v>120.26636267269905</v>
      </c>
      <c r="K14" s="45">
        <f t="shared" si="0"/>
        <v>573.87988860625808</v>
      </c>
      <c r="L14" s="41"/>
    </row>
    <row r="15" spans="1:13" x14ac:dyDescent="0.25">
      <c r="A15" s="31" t="s">
        <v>704</v>
      </c>
      <c r="B15" s="32">
        <v>6</v>
      </c>
      <c r="C15" s="43">
        <v>22.27</v>
      </c>
      <c r="D15" s="43">
        <v>21.31</v>
      </c>
      <c r="E15" s="44">
        <f>'Consumo e spesa'!F39</f>
        <v>718.674361540105</v>
      </c>
      <c r="F15" s="43">
        <f>'Consumo e spesa'!F40</f>
        <v>115.03799999999998</v>
      </c>
      <c r="G15" s="43">
        <v>2162</v>
      </c>
      <c r="H15" s="43">
        <v>3</v>
      </c>
      <c r="I15" s="45">
        <f>('Spese e costi unitari'!$F$16*'Consumo e spesa'!F39)+('Consumo e spesa'!$O$21*('Ripart. u.i.'!N16/1000))</f>
        <v>477.31882448763741</v>
      </c>
      <c r="J15" s="45">
        <f>('Spese e costi unitari'!$F$17*'Consumo e spesa'!F40)+('Consumo e spesa'!$O$23*('Ripart. u.i.'!O16/1000))</f>
        <v>56.791543644384021</v>
      </c>
      <c r="K15" s="45">
        <f t="shared" si="0"/>
        <v>534.11036813202145</v>
      </c>
      <c r="L15" s="41"/>
    </row>
    <row r="16" spans="1:13" x14ac:dyDescent="0.25">
      <c r="A16" s="31" t="s">
        <v>705</v>
      </c>
      <c r="B16" s="32">
        <v>7</v>
      </c>
      <c r="C16" s="43">
        <v>20.97</v>
      </c>
      <c r="D16" s="43">
        <v>25.57</v>
      </c>
      <c r="E16" s="44">
        <f>'Consumo e spesa'!F42</f>
        <v>5664.9622892536863</v>
      </c>
      <c r="F16" s="43">
        <f>'Consumo e spesa'!F43</f>
        <v>3681.2159999999994</v>
      </c>
      <c r="G16" s="43">
        <v>17042</v>
      </c>
      <c r="H16" s="43">
        <v>96</v>
      </c>
      <c r="I16" s="45">
        <f>('Spese e costi unitari'!$F$16*'Consumo e spesa'!F42)+('Consumo e spesa'!$O$21*('Ripart. u.i.'!N17/1000))</f>
        <v>1048.4937853512733</v>
      </c>
      <c r="J16" s="45">
        <f>('Spese e costi unitari'!$F$17*'Consumo e spesa'!F43)+('Consumo e spesa'!$O$23*('Ripart. u.i.'!O17/1000))</f>
        <v>271.53920682336741</v>
      </c>
      <c r="K16" s="45">
        <f t="shared" si="0"/>
        <v>1320.0329921746406</v>
      </c>
      <c r="L16" s="41"/>
    </row>
    <row r="17" spans="1:12" x14ac:dyDescent="0.25">
      <c r="A17" s="31" t="s">
        <v>706</v>
      </c>
      <c r="B17" s="32">
        <v>6</v>
      </c>
      <c r="C17" s="43">
        <v>21.4</v>
      </c>
      <c r="D17" s="43">
        <v>21.39</v>
      </c>
      <c r="E17" s="44">
        <f>'Consumo e spesa'!F45</f>
        <v>2304.2787577224831</v>
      </c>
      <c r="F17" s="43">
        <f>'Consumo e spesa'!F46</f>
        <v>1840.6079999999997</v>
      </c>
      <c r="G17" s="43">
        <v>6932</v>
      </c>
      <c r="H17" s="43">
        <v>48</v>
      </c>
      <c r="I17" s="45">
        <f>('Spese e costi unitari'!$F$16*'Consumo e spesa'!F45)+('Consumo e spesa'!$O$21*('Ripart. u.i.'!N18/1000))</f>
        <v>652.45887405364169</v>
      </c>
      <c r="J17" s="45">
        <f>('Spese e costi unitari'!$F$17*'Consumo e spesa'!F46)+('Consumo e spesa'!$O$23*('Ripart. u.i.'!O18/1000))</f>
        <v>156.03550511535173</v>
      </c>
      <c r="K17" s="45">
        <f t="shared" si="0"/>
        <v>808.49437916899342</v>
      </c>
      <c r="L17" s="41"/>
    </row>
    <row r="18" spans="1:12" x14ac:dyDescent="0.25">
      <c r="A18" s="31" t="s">
        <v>707</v>
      </c>
      <c r="B18" s="32">
        <v>6</v>
      </c>
      <c r="C18" s="43">
        <v>18.46</v>
      </c>
      <c r="D18" s="43">
        <v>21.56</v>
      </c>
      <c r="E18" s="44">
        <f>'Consumo e spesa'!F48</f>
        <v>3993.595642711759</v>
      </c>
      <c r="F18" s="43">
        <f>'Consumo e spesa'!F49</f>
        <v>2607.5279999999998</v>
      </c>
      <c r="G18" s="43">
        <v>12014</v>
      </c>
      <c r="H18" s="43">
        <v>68</v>
      </c>
      <c r="I18" s="45">
        <f>('Spese e costi unitari'!$F$16*'Consumo e spesa'!F48)+('Consumo e spesa'!$O$21*('Ripart. u.i.'!N19/1000))</f>
        <v>803.7090312485102</v>
      </c>
      <c r="J18" s="45">
        <f>('Spese e costi unitari'!$F$17*'Consumo e spesa'!F49)+('Consumo e spesa'!$O$23*('Ripart. u.i.'!O19/1000))</f>
        <v>200.46056670605671</v>
      </c>
      <c r="K18" s="45">
        <f t="shared" si="0"/>
        <v>1004.1695979545669</v>
      </c>
      <c r="L18" s="41"/>
    </row>
    <row r="19" spans="1:12" x14ac:dyDescent="0.25">
      <c r="A19" s="31" t="s">
        <v>708</v>
      </c>
      <c r="B19" s="32">
        <v>7</v>
      </c>
      <c r="C19" s="43">
        <v>20.91</v>
      </c>
      <c r="D19" s="43">
        <v>25.25</v>
      </c>
      <c r="E19" s="44">
        <f>'Consumo e spesa'!F51</f>
        <v>352.02412066187389</v>
      </c>
      <c r="F19" s="43">
        <f>'Consumo e spesa'!F52</f>
        <v>0</v>
      </c>
      <c r="G19" s="43">
        <v>1059</v>
      </c>
      <c r="H19" s="43">
        <v>0</v>
      </c>
      <c r="I19" s="45">
        <f>('Spese e costi unitari'!$F$16*'Consumo e spesa'!F51)+('Consumo e spesa'!$O$21*('Ripart. u.i.'!N20/1000))</f>
        <v>409.40909845808449</v>
      </c>
      <c r="J19" s="45">
        <f>('Spese e costi unitari'!$F$17*'Consumo e spesa'!F52)+('Consumo e spesa'!$O$23*('Ripart. u.i.'!O20/1000))</f>
        <v>59.467056132204263</v>
      </c>
      <c r="K19" s="45">
        <f t="shared" si="0"/>
        <v>468.87615459028876</v>
      </c>
      <c r="L19" s="41"/>
    </row>
    <row r="20" spans="1:12" x14ac:dyDescent="0.25">
      <c r="A20" s="31" t="s">
        <v>709</v>
      </c>
      <c r="B20" s="32">
        <v>6</v>
      </c>
      <c r="C20" s="43">
        <v>21.21</v>
      </c>
      <c r="D20" s="43">
        <v>21.39</v>
      </c>
      <c r="E20" s="44">
        <f>'Consumo e spesa'!F54</f>
        <v>1026.8201215529068</v>
      </c>
      <c r="F20" s="43">
        <f>'Consumo e spesa'!F55</f>
        <v>383.46</v>
      </c>
      <c r="G20" s="43">
        <v>3089</v>
      </c>
      <c r="H20" s="43">
        <v>10</v>
      </c>
      <c r="I20" s="45">
        <f>('Spese e costi unitari'!$F$16*'Consumo e spesa'!F54)+('Consumo e spesa'!$O$21*('Ripart. u.i.'!N21/1000))</f>
        <v>495.71276291702964</v>
      </c>
      <c r="J20" s="45">
        <f>('Spese e costi unitari'!$F$17*'Consumo e spesa'!F55)+('Consumo e spesa'!$O$23*('Ripart. u.i.'!O21/1000))</f>
        <v>72.388595385317316</v>
      </c>
      <c r="K20" s="45">
        <f t="shared" si="0"/>
        <v>568.10135830234697</v>
      </c>
      <c r="L20" s="41"/>
    </row>
    <row r="21" spans="1:12" x14ac:dyDescent="0.25">
      <c r="A21" s="31" t="s">
        <v>710</v>
      </c>
      <c r="B21" s="32">
        <v>7</v>
      </c>
      <c r="C21" s="43">
        <v>22.71</v>
      </c>
      <c r="D21" s="43">
        <v>25.26</v>
      </c>
      <c r="E21" s="44">
        <f>'Consumo e spesa'!F57</f>
        <v>2636.6905808215142</v>
      </c>
      <c r="F21" s="43">
        <f>'Consumo e spesa'!F58</f>
        <v>2032.3379999999997</v>
      </c>
      <c r="G21" s="43">
        <v>7932</v>
      </c>
      <c r="H21" s="43">
        <v>53</v>
      </c>
      <c r="I21" s="45">
        <f>('Spese e costi unitari'!$F$16*'Consumo e spesa'!F57)+('Consumo e spesa'!$O$21*('Ripart. u.i.'!N22/1000))</f>
        <v>715.37901331823139</v>
      </c>
      <c r="J21" s="45">
        <f>('Spese e costi unitari'!$F$17*'Consumo e spesa'!F58)+('Consumo e spesa'!$O$23*('Ripart. u.i.'!O22/1000))</f>
        <v>176.15603417029575</v>
      </c>
      <c r="K21" s="45">
        <f t="shared" si="0"/>
        <v>891.5350474885272</v>
      </c>
      <c r="L21" s="41"/>
    </row>
    <row r="22" spans="1:12" x14ac:dyDescent="0.25">
      <c r="A22" s="31" t="s">
        <v>711</v>
      </c>
      <c r="B22" s="32">
        <v>5</v>
      </c>
      <c r="C22" s="43">
        <v>21.2</v>
      </c>
      <c r="D22" s="43">
        <v>2.04</v>
      </c>
      <c r="E22" s="44">
        <f>'Consumo e spesa'!F60</f>
        <v>1735.85454022314</v>
      </c>
      <c r="F22" s="43">
        <f>'Consumo e spesa'!F61</f>
        <v>0</v>
      </c>
      <c r="G22" s="43">
        <v>5222</v>
      </c>
      <c r="H22" s="43">
        <v>0</v>
      </c>
      <c r="I22" s="45">
        <f>('Spese e costi unitari'!$F$16*'Consumo e spesa'!F60)+('Consumo e spesa'!$O$21*('Ripart. u.i.'!N23/1000))</f>
        <v>580.6851907741169</v>
      </c>
      <c r="J22" s="45">
        <f>('Spese e costi unitari'!$F$17*'Consumo e spesa'!F61)+('Consumo e spesa'!$O$23*('Ripart. u.i.'!O23/1000))</f>
        <v>4.8044671092949187</v>
      </c>
      <c r="K22" s="45">
        <f t="shared" si="0"/>
        <v>585.48965788341184</v>
      </c>
      <c r="L22" s="41"/>
    </row>
    <row r="23" spans="1:12" x14ac:dyDescent="0.25">
      <c r="A23" s="31" t="s">
        <v>712</v>
      </c>
      <c r="B23" s="32">
        <v>6</v>
      </c>
      <c r="C23" s="43">
        <v>17.260000000000002</v>
      </c>
      <c r="D23" s="43">
        <v>21.36</v>
      </c>
      <c r="E23" s="44">
        <f>'Consumo e spesa'!F63</f>
        <v>993.57893924300367</v>
      </c>
      <c r="F23" s="43">
        <f>'Consumo e spesa'!F64</f>
        <v>38.345999999999997</v>
      </c>
      <c r="G23" s="43">
        <v>2989</v>
      </c>
      <c r="H23" s="43">
        <v>1</v>
      </c>
      <c r="I23" s="45">
        <f>('Spese e costi unitari'!$F$16*'Consumo e spesa'!F63)+('Consumo e spesa'!$O$21*('Ripart. u.i.'!N24/1000))</f>
        <v>422.36734777420679</v>
      </c>
      <c r="J23" s="45">
        <f>('Spese e costi unitari'!$F$17*'Consumo e spesa'!F64)+('Consumo e spesa'!$O$23*('Ripart. u.i.'!O24/1000))</f>
        <v>52.506831258020767</v>
      </c>
      <c r="K23" s="45">
        <f t="shared" si="0"/>
        <v>474.87417903222757</v>
      </c>
      <c r="L23" s="41"/>
    </row>
    <row r="24" spans="1:12" x14ac:dyDescent="0.25">
      <c r="A24" s="31" t="s">
        <v>713</v>
      </c>
      <c r="B24" s="32">
        <v>5</v>
      </c>
      <c r="C24" s="43">
        <v>18.850000000000001</v>
      </c>
      <c r="D24" s="43">
        <v>21.56</v>
      </c>
      <c r="E24" s="44">
        <f>'Consumo e spesa'!F66</f>
        <v>750.9183083807111</v>
      </c>
      <c r="F24" s="43">
        <f>'Consumo e spesa'!F67</f>
        <v>76.691999999999993</v>
      </c>
      <c r="G24" s="43">
        <v>2259</v>
      </c>
      <c r="H24" s="43">
        <v>2</v>
      </c>
      <c r="I24" s="45">
        <f>('Spese e costi unitari'!$F$16*'Consumo e spesa'!F66)+('Consumo e spesa'!$O$21*('Ripart. u.i.'!N25/1000))</f>
        <v>421.143180941438</v>
      </c>
      <c r="J24" s="45">
        <f>('Spese e costi unitari'!$F$17*'Consumo e spesa'!F67)+('Consumo e spesa'!$O$23*('Ripart. u.i.'!O25/1000))</f>
        <v>55.179091911786387</v>
      </c>
      <c r="K24" s="45">
        <f t="shared" si="0"/>
        <v>476.32227285322438</v>
      </c>
      <c r="L24" s="41"/>
    </row>
    <row r="25" spans="1:12" x14ac:dyDescent="0.25">
      <c r="A25" s="31" t="s">
        <v>714</v>
      </c>
      <c r="B25" s="32">
        <v>7</v>
      </c>
      <c r="C25" s="43">
        <v>19.04</v>
      </c>
      <c r="D25" s="43">
        <v>25.7</v>
      </c>
      <c r="E25" s="44">
        <f>'Consumo e spesa'!F69</f>
        <v>3103.0643686294543</v>
      </c>
      <c r="F25" s="43">
        <f>'Consumo e spesa'!F70</f>
        <v>3681.2159999999994</v>
      </c>
      <c r="G25" s="43">
        <v>9335</v>
      </c>
      <c r="H25" s="43">
        <v>96</v>
      </c>
      <c r="I25" s="45">
        <f>('Spese e costi unitari'!$F$16*'Consumo e spesa'!F69)+('Consumo e spesa'!$O$21*('Ripart. u.i.'!N26/1000))</f>
        <v>706.94860024307059</v>
      </c>
      <c r="J25" s="45">
        <f>('Spese e costi unitari'!$F$17*'Consumo e spesa'!F70)+('Consumo e spesa'!$O$23*('Ripart. u.i.'!O26/1000))</f>
        <v>271.84537384503813</v>
      </c>
      <c r="K25" s="45">
        <f t="shared" si="0"/>
        <v>978.79397408810871</v>
      </c>
      <c r="L25" s="41"/>
    </row>
    <row r="26" spans="1:12" x14ac:dyDescent="0.25">
      <c r="A26" s="31" t="s">
        <v>715</v>
      </c>
      <c r="B26" s="32">
        <v>6</v>
      </c>
      <c r="C26" s="43">
        <v>18.04</v>
      </c>
      <c r="D26" s="43">
        <v>21.72</v>
      </c>
      <c r="E26" s="44">
        <f>'Consumo e spesa'!F72</f>
        <v>1873.1406231630399</v>
      </c>
      <c r="F26" s="43">
        <f>'Consumo e spesa'!F73</f>
        <v>421.80599999999993</v>
      </c>
      <c r="G26" s="43">
        <v>5635</v>
      </c>
      <c r="H26" s="43">
        <v>11</v>
      </c>
      <c r="I26" s="45">
        <f>('Spese e costi unitari'!$F$16*'Consumo e spesa'!F72)+('Consumo e spesa'!$O$21*('Ripart. u.i.'!N27/1000))</f>
        <v>541.68910577565043</v>
      </c>
      <c r="J26" s="45">
        <f>('Spese e costi unitari'!$F$17*'Consumo e spesa'!F73)+('Consumo e spesa'!$O$23*('Ripart. u.i.'!O27/1000))</f>
        <v>75.367023060753695</v>
      </c>
      <c r="K26" s="45">
        <f t="shared" si="0"/>
        <v>617.05612883640413</v>
      </c>
      <c r="L26" s="41"/>
    </row>
    <row r="27" spans="1:12" ht="22.5" x14ac:dyDescent="0.25">
      <c r="A27" s="31" t="s">
        <v>716</v>
      </c>
      <c r="B27" s="32">
        <v>6</v>
      </c>
      <c r="C27" s="43">
        <v>18.96</v>
      </c>
      <c r="D27" s="43">
        <v>21.45</v>
      </c>
      <c r="E27" s="44">
        <f>'Consumo e spesa'!F75</f>
        <v>6583.416156476309</v>
      </c>
      <c r="F27" s="43">
        <f>'Consumo e spesa'!F76</f>
        <v>2300.7599999999993</v>
      </c>
      <c r="G27" s="43">
        <v>19805</v>
      </c>
      <c r="H27" s="43">
        <v>60</v>
      </c>
      <c r="I27" s="45">
        <f>('Spese e costi unitari'!$F$16*'Consumo e spesa'!F75)+('Consumo e spesa'!$O$21*('Ripart. u.i.'!N28/1000))</f>
        <v>1123.4997280053835</v>
      </c>
      <c r="J27" s="45">
        <f>('Spese e costi unitari'!$F$17*'Consumo e spesa'!F76)+('Consumo e spesa'!$O$23*('Ripart. u.i.'!O28/1000))</f>
        <v>182.59162657046568</v>
      </c>
      <c r="K27" s="45">
        <f t="shared" si="0"/>
        <v>1306.0913545758492</v>
      </c>
      <c r="L27" s="41"/>
    </row>
    <row r="28" spans="1:12" x14ac:dyDescent="0.25">
      <c r="A28" s="31" t="s">
        <v>717</v>
      </c>
      <c r="B28" s="32">
        <v>7</v>
      </c>
      <c r="C28" s="43">
        <v>19.43</v>
      </c>
      <c r="D28" s="43">
        <v>25.32</v>
      </c>
      <c r="E28" s="44">
        <f>'Consumo e spesa'!F78</f>
        <v>2711.483241018796</v>
      </c>
      <c r="F28" s="43">
        <f>'Consumo e spesa'!F79</f>
        <v>728.57399999999984</v>
      </c>
      <c r="G28" s="43">
        <v>8157</v>
      </c>
      <c r="H28" s="43">
        <v>19</v>
      </c>
      <c r="I28" s="45">
        <f>('Spese e costi unitari'!$F$16*'Consumo e spesa'!F78)+('Consumo e spesa'!$O$21*('Ripart. u.i.'!N29/1000))</f>
        <v>666.7711465123615</v>
      </c>
      <c r="J28" s="45">
        <f>('Spese e costi unitari'!$F$17*'Consumo e spesa'!F79)+('Consumo e spesa'!$O$23*('Ripart. u.i.'!O29/1000))</f>
        <v>101.45537016273649</v>
      </c>
      <c r="K28" s="45">
        <f t="shared" si="0"/>
        <v>768.22651667509797</v>
      </c>
      <c r="L28" s="41"/>
    </row>
    <row r="29" spans="1:12" x14ac:dyDescent="0.25">
      <c r="A29" s="31" t="s">
        <v>718</v>
      </c>
      <c r="B29" s="32">
        <v>6</v>
      </c>
      <c r="C29" s="43">
        <v>19.97</v>
      </c>
      <c r="D29" s="43">
        <v>21.56</v>
      </c>
      <c r="E29" s="44">
        <f>'Consumo e spesa'!F81</f>
        <v>2743.7271878594024</v>
      </c>
      <c r="F29" s="43">
        <f>'Consumo e spesa'!F82</f>
        <v>345.11399999999992</v>
      </c>
      <c r="G29" s="43">
        <v>8254</v>
      </c>
      <c r="H29" s="43">
        <v>9</v>
      </c>
      <c r="I29" s="45">
        <f>('Spese e costi unitari'!$F$16*'Consumo e spesa'!F81)+('Consumo e spesa'!$O$21*('Ripart. u.i.'!N30/1000))</f>
        <v>680.12456000119778</v>
      </c>
      <c r="J29" s="45">
        <f>('Spese e costi unitari'!$F$17*'Consumo e spesa'!F82)+('Consumo e spesa'!$O$23*('Ripart. u.i.'!O30/1000))</f>
        <v>70.587733177845365</v>
      </c>
      <c r="K29" s="45">
        <f t="shared" si="0"/>
        <v>750.71229317904317</v>
      </c>
      <c r="L29" s="41"/>
    </row>
    <row r="30" spans="1:12" x14ac:dyDescent="0.25">
      <c r="A30" s="31" t="s">
        <v>719</v>
      </c>
      <c r="B30" s="32">
        <v>6</v>
      </c>
      <c r="C30" s="43">
        <v>16.62</v>
      </c>
      <c r="D30" s="43">
        <v>21.45</v>
      </c>
      <c r="E30" s="44">
        <f>'Consumo e spesa'!F84</f>
        <v>2302.284286783889</v>
      </c>
      <c r="F30" s="43">
        <f>'Consumo e spesa'!F85</f>
        <v>3067.68</v>
      </c>
      <c r="G30" s="43">
        <v>6926</v>
      </c>
      <c r="H30" s="43">
        <v>80</v>
      </c>
      <c r="I30" s="45">
        <f>('Spese e costi unitari'!$F$16*'Consumo e spesa'!F84)+('Consumo e spesa'!$O$21*('Ripart. u.i.'!N31/1000))</f>
        <v>568.29286982432313</v>
      </c>
      <c r="J30" s="45">
        <f>('Spese e costi unitari'!$F$17*'Consumo e spesa'!F85)+('Consumo e spesa'!$O$23*('Ripart. u.i.'!O31/1000))</f>
        <v>226.61631590206278</v>
      </c>
      <c r="K30" s="45">
        <f t="shared" si="0"/>
        <v>794.90918572638589</v>
      </c>
      <c r="L30" s="41"/>
    </row>
    <row r="31" spans="1:12" x14ac:dyDescent="0.25">
      <c r="A31" s="31" t="s">
        <v>720</v>
      </c>
      <c r="B31" s="32">
        <v>7</v>
      </c>
      <c r="C31" s="43">
        <v>23.22</v>
      </c>
      <c r="D31" s="43">
        <v>25.83</v>
      </c>
      <c r="E31" s="44">
        <f>'Consumo e spesa'!F87</f>
        <v>6318.1515216432826</v>
      </c>
      <c r="F31" s="43">
        <f>'Consumo e spesa'!F88</f>
        <v>575.18999999999983</v>
      </c>
      <c r="G31" s="43">
        <v>19007</v>
      </c>
      <c r="H31" s="43">
        <v>15</v>
      </c>
      <c r="I31" s="45">
        <f>('Spese e costi unitari'!$F$16*'Consumo e spesa'!F87)+('Consumo e spesa'!$O$21*('Ripart. u.i.'!N32/1000))</f>
        <v>1166.4404842996496</v>
      </c>
      <c r="J31" s="45">
        <f>('Spese e costi unitari'!$F$17*'Consumo e spesa'!F88)+('Consumo e spesa'!$O$23*('Ripart. u.i.'!O32/1000))</f>
        <v>93.851549073740799</v>
      </c>
      <c r="K31" s="45">
        <f t="shared" si="0"/>
        <v>1260.2920333733905</v>
      </c>
      <c r="L31" s="41"/>
    </row>
    <row r="32" spans="1:12" x14ac:dyDescent="0.25">
      <c r="A32" s="31" t="s">
        <v>721</v>
      </c>
      <c r="B32" s="32">
        <v>7</v>
      </c>
      <c r="C32" s="43">
        <v>28.53</v>
      </c>
      <c r="D32" s="43">
        <v>23.43</v>
      </c>
      <c r="E32" s="44">
        <f>'Consumo e spesa'!F90</f>
        <v>1496.5180275918376</v>
      </c>
      <c r="F32" s="43">
        <f>'Consumo e spesa'!F91</f>
        <v>230.07599999999996</v>
      </c>
      <c r="G32" s="43">
        <v>4502</v>
      </c>
      <c r="H32" s="43">
        <v>6</v>
      </c>
      <c r="I32" s="45">
        <f>('Spese e costi unitari'!$F$16*'Consumo e spesa'!F90)+('Consumo e spesa'!$O$21*('Ripart. u.i.'!N33/1000))</f>
        <v>680.64223461024289</v>
      </c>
      <c r="J32" s="45">
        <f>('Spese e costi unitari'!$F$17*'Consumo e spesa'!F91)+('Consumo e spesa'!$O$23*('Ripart. u.i.'!O33/1000))</f>
        <v>68.388124628292815</v>
      </c>
      <c r="K32" s="45">
        <f t="shared" si="0"/>
        <v>749.03035923853577</v>
      </c>
      <c r="L32" s="41"/>
    </row>
    <row r="33" spans="1:12" x14ac:dyDescent="0.25">
      <c r="A33" s="31" t="s">
        <v>722</v>
      </c>
      <c r="B33" s="32">
        <v>6</v>
      </c>
      <c r="C33" s="43">
        <v>23.86</v>
      </c>
      <c r="D33" s="43">
        <v>22.09</v>
      </c>
      <c r="E33" s="44">
        <f>'Consumo e spesa'!F93</f>
        <v>5587.1779226485132</v>
      </c>
      <c r="F33" s="43">
        <f>'Consumo e spesa'!F94</f>
        <v>3911.2919999999995</v>
      </c>
      <c r="G33" s="43">
        <v>16808</v>
      </c>
      <c r="H33" s="43">
        <v>102</v>
      </c>
      <c r="I33" s="45">
        <f>('Spese e costi unitari'!$F$16*'Consumo e spesa'!F93)+('Consumo e spesa'!$O$21*('Ripart. u.i.'!N34/1000))</f>
        <v>1089.8948192216353</v>
      </c>
      <c r="J33" s="45">
        <f>('Spese e costi unitari'!$F$17*'Consumo e spesa'!F94)+('Consumo e spesa'!$O$23*('Ripart. u.i.'!O34/1000))</f>
        <v>276.550757965814</v>
      </c>
      <c r="K33" s="45">
        <f t="shared" si="0"/>
        <v>1366.4455771874493</v>
      </c>
      <c r="L33" s="41"/>
    </row>
    <row r="34" spans="1:12" x14ac:dyDescent="0.25">
      <c r="A34" s="31" t="s">
        <v>723</v>
      </c>
      <c r="B34" s="32">
        <v>6</v>
      </c>
      <c r="C34" s="43">
        <v>23.15</v>
      </c>
      <c r="D34" s="43">
        <v>20.68</v>
      </c>
      <c r="E34" s="44">
        <f>'Consumo e spesa'!F96</f>
        <v>885.87750855891773</v>
      </c>
      <c r="F34" s="43">
        <f>'Consumo e spesa'!F97</f>
        <v>0</v>
      </c>
      <c r="G34" s="43">
        <v>2665</v>
      </c>
      <c r="H34" s="43">
        <v>0</v>
      </c>
      <c r="I34" s="45">
        <f>('Spese e costi unitari'!$F$16*'Consumo e spesa'!F96)+('Consumo e spesa'!$O$21*('Ripart. u.i.'!N35/1000))</f>
        <v>512.84916682023493</v>
      </c>
      <c r="J34" s="45">
        <f>('Spese e costi unitari'!$F$17*'Consumo e spesa'!F97)+('Consumo e spesa'!$O$23*('Ripart. u.i.'!O35/1000))</f>
        <v>48.704107755009275</v>
      </c>
      <c r="K34" s="45">
        <f t="shared" si="0"/>
        <v>561.55327457524425</v>
      </c>
      <c r="L34" s="41"/>
    </row>
    <row r="35" spans="1:12" x14ac:dyDescent="0.25">
      <c r="A35" s="31" t="s">
        <v>724</v>
      </c>
      <c r="B35" s="32">
        <v>7</v>
      </c>
      <c r="C35" s="43">
        <v>29.88</v>
      </c>
      <c r="D35" s="43">
        <v>25.16</v>
      </c>
      <c r="E35" s="44">
        <f>'Consumo e spesa'!F99</f>
        <v>5024.7371179649526</v>
      </c>
      <c r="F35" s="43">
        <f>'Consumo e spesa'!F100</f>
        <v>4294.7519999999995</v>
      </c>
      <c r="G35" s="43">
        <v>15116</v>
      </c>
      <c r="H35" s="43">
        <v>112</v>
      </c>
      <c r="I35" s="45">
        <f>('Spese e costi unitari'!$F$16*'Consumo e spesa'!F99)+('Consumo e spesa'!$O$21*('Ripart. u.i.'!N36/1000))</f>
        <v>1128.0494660228719</v>
      </c>
      <c r="J35" s="45">
        <f>('Spese e costi unitari'!$F$17*'Consumo e spesa'!F100)+('Consumo e spesa'!$O$23*('Ripart. u.i.'!O36/1000))</f>
        <v>305.79335460491421</v>
      </c>
      <c r="K35" s="45">
        <f t="shared" si="0"/>
        <v>1433.8428206277861</v>
      </c>
      <c r="L35" s="41"/>
    </row>
    <row r="36" spans="1:12" x14ac:dyDescent="0.25">
      <c r="A36" s="31" t="s">
        <v>725</v>
      </c>
      <c r="B36" s="32">
        <v>6</v>
      </c>
      <c r="C36" s="43">
        <v>17.48</v>
      </c>
      <c r="D36" s="43">
        <v>21.63</v>
      </c>
      <c r="E36" s="44">
        <f>'Consumo e spesa'!F102</f>
        <v>4237.9183326895463</v>
      </c>
      <c r="F36" s="43">
        <f>'Consumo e spesa'!F103</f>
        <v>2032.3379999999997</v>
      </c>
      <c r="G36" s="43">
        <v>12749</v>
      </c>
      <c r="H36" s="43">
        <v>53</v>
      </c>
      <c r="I36" s="45">
        <f>('Spese e costi unitari'!$F$16*'Consumo e spesa'!F102)+('Consumo e spesa'!$O$21*('Ripart. u.i.'!N37/1000))</f>
        <v>815.84307894623635</v>
      </c>
      <c r="J36" s="45">
        <f>('Spese e costi unitari'!$F$17*'Consumo e spesa'!F103)+('Consumo e spesa'!$O$23*('Ripart. u.i.'!O37/1000))</f>
        <v>167.60690887287393</v>
      </c>
      <c r="K36" s="45">
        <f t="shared" si="0"/>
        <v>983.44998781911022</v>
      </c>
      <c r="L36" s="41"/>
    </row>
    <row r="37" spans="1:12" x14ac:dyDescent="0.25">
      <c r="A37" s="31" t="s">
        <v>726</v>
      </c>
      <c r="B37" s="32">
        <v>7</v>
      </c>
      <c r="C37" s="43">
        <v>21.21</v>
      </c>
      <c r="D37" s="43">
        <v>25.29</v>
      </c>
      <c r="E37" s="44">
        <f>'Consumo e spesa'!F105</f>
        <v>5238.4779202176296</v>
      </c>
      <c r="F37" s="43">
        <f>'Consumo e spesa'!F106</f>
        <v>805.26599999999996</v>
      </c>
      <c r="G37" s="43">
        <v>15759</v>
      </c>
      <c r="H37" s="43">
        <v>21</v>
      </c>
      <c r="I37" s="45">
        <f>('Spese e costi unitari'!$F$16*'Consumo e spesa'!F105)+('Consumo e spesa'!$O$21*('Ripart. u.i.'!N38/1000))</f>
        <v>1001.4911218563464</v>
      </c>
      <c r="J37" s="45">
        <f>('Spese e costi unitari'!$F$17*'Consumo e spesa'!F106)+('Consumo e spesa'!$O$23*('Ripart. u.i.'!O38/1000))</f>
        <v>105.78718516781834</v>
      </c>
      <c r="K37" s="45">
        <f t="shared" si="0"/>
        <v>1107.2783070241646</v>
      </c>
      <c r="L37" s="41"/>
    </row>
    <row r="38" spans="1:12" x14ac:dyDescent="0.25">
      <c r="A38" s="31" t="s">
        <v>727</v>
      </c>
      <c r="B38" s="32">
        <v>7</v>
      </c>
      <c r="C38" s="43">
        <v>18.829999999999998</v>
      </c>
      <c r="D38" s="43">
        <v>26.05</v>
      </c>
      <c r="E38" s="44">
        <f>'Consumo e spesa'!F108</f>
        <v>423.82507445126453</v>
      </c>
      <c r="F38" s="43">
        <f>'Consumo e spesa'!F109</f>
        <v>1112.0339999999999</v>
      </c>
      <c r="G38" s="43">
        <v>1275</v>
      </c>
      <c r="H38" s="43">
        <v>29</v>
      </c>
      <c r="I38" s="45">
        <f>('Spese e costi unitari'!$F$16*'Consumo e spesa'!F108)+('Consumo e spesa'!$O$21*('Ripart. u.i.'!N39/1000))</f>
        <v>381.51136858683481</v>
      </c>
      <c r="J38" s="45">
        <f>('Spese e costi unitari'!$F$17*'Consumo e spesa'!F109)+('Consumo e spesa'!$O$23*('Ripart. u.i.'!O39/1000))</f>
        <v>125.18696041176311</v>
      </c>
      <c r="K38" s="45">
        <f t="shared" si="0"/>
        <v>506.6983289985979</v>
      </c>
      <c r="L38" s="41"/>
    </row>
    <row r="39" spans="1:12" x14ac:dyDescent="0.25">
      <c r="A39" s="31" t="s">
        <v>728</v>
      </c>
      <c r="B39" s="32">
        <v>7</v>
      </c>
      <c r="C39" s="43">
        <v>20.36</v>
      </c>
      <c r="D39" s="43">
        <v>25.29</v>
      </c>
      <c r="E39" s="44">
        <f>'Consumo e spesa'!F111</f>
        <v>2763.0070735991458</v>
      </c>
      <c r="F39" s="43">
        <f>'Consumo e spesa'!F112</f>
        <v>1802.2619999999997</v>
      </c>
      <c r="G39" s="43">
        <v>8312</v>
      </c>
      <c r="H39" s="43">
        <v>47</v>
      </c>
      <c r="I39" s="45">
        <f>('Spese e costi unitari'!$F$16*'Consumo e spesa'!F111)+('Consumo e spesa'!$O$21*('Ripart. u.i.'!N40/1000))</f>
        <v>689.28744183868071</v>
      </c>
      <c r="J39" s="45">
        <f>('Spese e costi unitari'!$F$17*'Consumo e spesa'!F112)+('Consumo e spesa'!$O$23*('Ripart. u.i.'!O40/1000))</f>
        <v>163.0192812988945</v>
      </c>
      <c r="K39" s="45">
        <f t="shared" si="0"/>
        <v>852.3067231375752</v>
      </c>
      <c r="L39" s="41"/>
    </row>
    <row r="40" spans="1:12" x14ac:dyDescent="0.25">
      <c r="A40" s="31" t="s">
        <v>729</v>
      </c>
      <c r="B40" s="32">
        <v>5</v>
      </c>
      <c r="C40" s="43">
        <v>22.58</v>
      </c>
      <c r="D40" s="43">
        <v>21.21</v>
      </c>
      <c r="E40" s="44">
        <f>'Consumo e spesa'!F114</f>
        <v>1674.3583529498192</v>
      </c>
      <c r="F40" s="43">
        <f>'Consumo e spesa'!F115</f>
        <v>1418.8019999999997</v>
      </c>
      <c r="G40" s="43">
        <v>5037</v>
      </c>
      <c r="H40" s="43">
        <v>37</v>
      </c>
      <c r="I40" s="45">
        <f>('Spese e costi unitari'!$F$16*'Consumo e spesa'!F114)+('Consumo e spesa'!$O$21*('Ripart. u.i.'!N41/1000))</f>
        <v>597.5299310911754</v>
      </c>
      <c r="J40" s="45">
        <f>('Spese e costi unitari'!$F$17*'Consumo e spesa'!F115)+('Consumo e spesa'!$O$23*('Ripart. u.i.'!O41/1000))</f>
        <v>131.39800241450615</v>
      </c>
      <c r="K40" s="45">
        <f t="shared" si="0"/>
        <v>728.92793350568149</v>
      </c>
      <c r="L40" s="41"/>
    </row>
    <row r="41" spans="1:12" x14ac:dyDescent="0.25">
      <c r="A41" s="31" t="s">
        <v>730</v>
      </c>
      <c r="B41" s="32">
        <v>1</v>
      </c>
      <c r="C41" s="43">
        <v>89.69</v>
      </c>
      <c r="D41" s="43">
        <v>11.14</v>
      </c>
      <c r="E41" s="44">
        <f>'Consumo e spesa'!F117</f>
        <v>0</v>
      </c>
      <c r="F41" s="43">
        <f>'Consumo e spesa'!F118</f>
        <v>0</v>
      </c>
      <c r="G41" s="43">
        <v>0</v>
      </c>
      <c r="H41" s="43">
        <v>0</v>
      </c>
      <c r="I41" s="45">
        <f>('Spese e costi unitari'!$F$16*'Consumo e spesa'!F117)+('Consumo e spesa'!$O$21*('Ripart. u.i.'!N42/1000))</f>
        <v>1574.7629104728151</v>
      </c>
      <c r="J41" s="45">
        <f>('Spese e costi unitari'!$F$17*'Consumo e spesa'!F118)+('Consumo e spesa'!$O$23*('Ripart. u.i.'!O42/1000))</f>
        <v>26.236158626247743</v>
      </c>
      <c r="K41" s="45">
        <f t="shared" si="0"/>
        <v>1600.9990690990628</v>
      </c>
      <c r="L41" s="41"/>
    </row>
    <row r="42" spans="1:12" x14ac:dyDescent="0.25">
      <c r="A42" s="31" t="s">
        <v>731</v>
      </c>
      <c r="B42" s="32">
        <v>7</v>
      </c>
      <c r="C42" s="43">
        <v>22.64</v>
      </c>
      <c r="D42" s="43">
        <v>25.75</v>
      </c>
      <c r="E42" s="44">
        <f>'Consumo e spesa'!F120</f>
        <v>1819.9547314671947</v>
      </c>
      <c r="F42" s="43">
        <f>'Consumo e spesa'!F121</f>
        <v>306.76799999999997</v>
      </c>
      <c r="G42" s="43">
        <v>5475</v>
      </c>
      <c r="H42" s="43">
        <v>8</v>
      </c>
      <c r="I42" s="45">
        <f>('Spese e costi unitari'!$F$16*'Consumo e spesa'!F120)+('Consumo e spesa'!$O$21*('Ripart. u.i.'!N43/1000))</f>
        <v>616.06808367405029</v>
      </c>
      <c r="J42" s="45">
        <f>('Spese e costi unitari'!$F$17*'Consumo e spesa'!F121)+('Consumo e spesa'!$O$23*('Ripart. u.i.'!O43/1000))</f>
        <v>78.254497332807517</v>
      </c>
      <c r="K42" s="45">
        <f t="shared" si="0"/>
        <v>694.32258100685783</v>
      </c>
      <c r="L42" s="41"/>
    </row>
    <row r="43" spans="1:12" x14ac:dyDescent="0.25">
      <c r="A43" s="31" t="s">
        <v>732</v>
      </c>
      <c r="B43" s="32">
        <v>7</v>
      </c>
      <c r="C43" s="43">
        <v>22.52</v>
      </c>
      <c r="D43" s="43">
        <v>25.26</v>
      </c>
      <c r="E43" s="44">
        <f>'Consumo e spesa'!F123</f>
        <v>1880.7860950943175</v>
      </c>
      <c r="F43" s="43">
        <f>'Consumo e spesa'!F124</f>
        <v>460.15199999999993</v>
      </c>
      <c r="G43" s="43">
        <v>5658</v>
      </c>
      <c r="H43" s="43">
        <v>12</v>
      </c>
      <c r="I43" s="45">
        <f>('Spese e costi unitari'!$F$16*'Consumo e spesa'!F123)+('Consumo e spesa'!$O$21*('Ripart. u.i.'!N44/1000))</f>
        <v>621.26638641017382</v>
      </c>
      <c r="J43" s="45">
        <f>('Spese e costi unitari'!$F$17*'Consumo e spesa'!F124)+('Consumo e spesa'!$O$23*('Ripart. u.i.'!O44/1000))</f>
        <v>85.905421040521787</v>
      </c>
      <c r="K43" s="45">
        <f t="shared" si="0"/>
        <v>707.17180745069561</v>
      </c>
      <c r="L43" s="41"/>
    </row>
    <row r="44" spans="1:12" x14ac:dyDescent="0.25">
      <c r="A44" s="31" t="s">
        <v>733</v>
      </c>
      <c r="B44" s="32">
        <v>7</v>
      </c>
      <c r="C44" s="43">
        <v>18.57</v>
      </c>
      <c r="D44" s="43">
        <v>25.72</v>
      </c>
      <c r="E44" s="44">
        <f>'Consumo e spesa'!F126</f>
        <v>1319.6749377031531</v>
      </c>
      <c r="F44" s="43">
        <f>'Consumo e spesa'!F127</f>
        <v>460.15199999999993</v>
      </c>
      <c r="G44" s="43">
        <v>3970</v>
      </c>
      <c r="H44" s="43">
        <v>12</v>
      </c>
      <c r="I44" s="45">
        <f>('Spese e costi unitari'!$F$16*'Consumo e spesa'!F126)+('Consumo e spesa'!$O$21*('Ripart. u.i.'!N45/1000))</f>
        <v>484.52901909721413</v>
      </c>
      <c r="J44" s="45">
        <f>('Spese e costi unitari'!$F$17*'Consumo e spesa'!F127)+('Consumo e spesa'!$O$23*('Ripart. u.i.'!O45/1000))</f>
        <v>86.988781271049078</v>
      </c>
      <c r="K44" s="45">
        <f t="shared" si="0"/>
        <v>571.51780036826324</v>
      </c>
      <c r="L44" s="41"/>
    </row>
    <row r="45" spans="1:12" x14ac:dyDescent="0.25">
      <c r="A45" s="31" t="s">
        <v>734</v>
      </c>
      <c r="B45" s="32">
        <v>7</v>
      </c>
      <c r="C45" s="43">
        <v>19.940000000000001</v>
      </c>
      <c r="D45" s="43">
        <v>25.28</v>
      </c>
      <c r="E45" s="44">
        <f>'Consumo e spesa'!F129</f>
        <v>3978.6371106723022</v>
      </c>
      <c r="F45" s="43">
        <f>'Consumo e spesa'!F130</f>
        <v>3451.1399999999994</v>
      </c>
      <c r="G45" s="43">
        <v>11969</v>
      </c>
      <c r="H45" s="43">
        <v>90</v>
      </c>
      <c r="I45" s="45">
        <f>('Spese e costi unitari'!$F$16*'Consumo e spesa'!F129)+('Consumo e spesa'!$O$21*('Ripart. u.i.'!N46/1000))</f>
        <v>827.89826698263096</v>
      </c>
      <c r="J45" s="45">
        <f>('Spese e costi unitari'!$F$17*'Consumo e spesa'!F130)+('Consumo e spesa'!$O$23*('Ripart. u.i.'!O46/1000))</f>
        <v>257.64881205246888</v>
      </c>
      <c r="K45" s="45">
        <f t="shared" si="0"/>
        <v>1085.5470790350998</v>
      </c>
      <c r="L45" s="41"/>
    </row>
    <row r="46" spans="1:12" x14ac:dyDescent="0.25">
      <c r="A46" s="31" t="s">
        <v>735</v>
      </c>
      <c r="B46" s="32">
        <v>6</v>
      </c>
      <c r="C46" s="43">
        <v>19.75</v>
      </c>
      <c r="D46" s="43">
        <v>21.56</v>
      </c>
      <c r="E46" s="44">
        <f>'Consumo e spesa'!F132</f>
        <v>6468.0692538609455</v>
      </c>
      <c r="F46" s="43">
        <f>'Consumo e spesa'!F133</f>
        <v>2645.8739999999993</v>
      </c>
      <c r="G46" s="43">
        <v>19458</v>
      </c>
      <c r="H46" s="43">
        <v>69</v>
      </c>
      <c r="I46" s="45">
        <f>('Spese e costi unitari'!$F$16*'Consumo e spesa'!F132)+('Consumo e spesa'!$O$21*('Ripart. u.i.'!N47/1000))</f>
        <v>1123.5184039518072</v>
      </c>
      <c r="J46" s="45">
        <f>('Spese e costi unitari'!$F$17*'Consumo e spesa'!F133)+('Consumo e spesa'!$O$23*('Ripart. u.i.'!O47/1000))</f>
        <v>202.66180117263653</v>
      </c>
      <c r="K46" s="45">
        <f t="shared" si="0"/>
        <v>1326.1802051244438</v>
      </c>
      <c r="L46" s="41"/>
    </row>
    <row r="47" spans="1:12" x14ac:dyDescent="0.25">
      <c r="A47" s="31" t="s">
        <v>736</v>
      </c>
      <c r="B47" s="32">
        <v>7</v>
      </c>
      <c r="C47" s="43">
        <v>19.27</v>
      </c>
      <c r="D47" s="43">
        <v>25.84</v>
      </c>
      <c r="E47" s="44">
        <f>'Consumo e spesa'!F135</f>
        <v>3853.6502651870669</v>
      </c>
      <c r="F47" s="43">
        <f>'Consumo e spesa'!F136</f>
        <v>1073.6879999999999</v>
      </c>
      <c r="G47" s="43">
        <v>11593</v>
      </c>
      <c r="H47" s="43">
        <v>28</v>
      </c>
      <c r="I47" s="45">
        <f>('Spese e costi unitari'!$F$16*'Consumo e spesa'!F135)+('Consumo e spesa'!$O$21*('Ripart. u.i.'!N48/1000))</f>
        <v>801.12483101300973</v>
      </c>
      <c r="J47" s="45">
        <f>('Spese e costi unitari'!$F$17*'Consumo e spesa'!F136)+('Consumo e spesa'!$O$23*('Ripart. u.i.'!O48/1000))</f>
        <v>122.49114844863819</v>
      </c>
      <c r="K47" s="45">
        <f t="shared" si="0"/>
        <v>923.61597946164795</v>
      </c>
      <c r="L47" s="41"/>
    </row>
    <row r="49" spans="1:11" x14ac:dyDescent="0.25">
      <c r="A49" s="29" t="s">
        <v>679</v>
      </c>
      <c r="B49" s="34">
        <f>SUM(B3:B48)</f>
        <v>282</v>
      </c>
      <c r="C49" s="34">
        <v>1000</v>
      </c>
      <c r="D49" s="34">
        <v>1000</v>
      </c>
      <c r="E49" s="35">
        <f>SUM(E3:E48)</f>
        <v>121443.33545099998</v>
      </c>
      <c r="F49" s="42">
        <f>SUM(F3:F48)</f>
        <v>63347.591999999997</v>
      </c>
      <c r="G49" s="34">
        <f>SUM(G3:G48)</f>
        <v>365340</v>
      </c>
      <c r="H49" s="34">
        <f>SUM(H3:H48)</f>
        <v>1652</v>
      </c>
      <c r="I49" s="47">
        <f>SUM(I3:I48)</f>
        <v>32141.632464427494</v>
      </c>
      <c r="J49" s="47">
        <f>SUM(J3:J48)</f>
        <v>5990.6282223444268</v>
      </c>
      <c r="K49" s="47">
        <f>SUM(K3:K48)</f>
        <v>38132.260686771915</v>
      </c>
    </row>
    <row r="51" spans="1:11" x14ac:dyDescent="0.25">
      <c r="E51" s="35"/>
      <c r="F51" s="34"/>
      <c r="G51" s="34"/>
      <c r="H51" s="34"/>
      <c r="I51" s="47"/>
      <c r="J51" s="47"/>
      <c r="K51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Dati generali</vt:lpstr>
      <vt:lpstr>Vettori energetici</vt:lpstr>
      <vt:lpstr>Generatore</vt:lpstr>
      <vt:lpstr>Letture-mill. u.i.</vt:lpstr>
      <vt:lpstr>Consumi vet energ.</vt:lpstr>
      <vt:lpstr>Spese e costi unitari</vt:lpstr>
      <vt:lpstr>Ripart. u.i.</vt:lpstr>
      <vt:lpstr>Consumo e spesa</vt:lpstr>
      <vt:lpstr>Spese u.i.</vt:lpstr>
      <vt:lpstr>Foglio2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</dc:creator>
  <cp:lastModifiedBy>Alessandro Moda</cp:lastModifiedBy>
  <cp:lastPrinted>2017-11-13T18:20:25Z</cp:lastPrinted>
  <dcterms:created xsi:type="dcterms:W3CDTF">2016-05-06T09:03:24Z</dcterms:created>
  <dcterms:modified xsi:type="dcterms:W3CDTF">2018-01-18T23:07:15Z</dcterms:modified>
</cp:coreProperties>
</file>