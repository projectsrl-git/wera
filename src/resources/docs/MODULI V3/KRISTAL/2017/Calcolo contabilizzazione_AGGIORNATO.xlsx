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SIRBI\MODULI IMPORT\MODULI V3\KRISTAL\2017\"/>
    </mc:Choice>
  </mc:AlternateContent>
  <bookViews>
    <workbookView xWindow="240" yWindow="75" windowWidth="16275" windowHeight="7995" tabRatio="845" firstSheet="1" activeTab="6"/>
  </bookViews>
  <sheets>
    <sheet name="Dati generali" sheetId="1" r:id="rId1"/>
    <sheet name="Vettori energetici" sheetId="2" r:id="rId2"/>
    <sheet name="Generatore" sheetId="3" r:id="rId3"/>
    <sheet name="Letture-mill. u.i." sheetId="4" r:id="rId4"/>
    <sheet name="Consumi vet energ." sheetId="5" r:id="rId5"/>
    <sheet name="Spese e costi unitari" sheetId="6" r:id="rId6"/>
    <sheet name="Ripart. u.i." sheetId="7" r:id="rId7"/>
    <sheet name="Consumo e spesa" sheetId="8" r:id="rId8"/>
    <sheet name="Spese u.i." sheetId="9" r:id="rId9"/>
    <sheet name="Dati condominio" sheetId="11" r:id="rId10"/>
    <sheet name="Risultato" sheetId="12" r:id="rId11"/>
    <sheet name="Foglio1" sheetId="10" r:id="rId12"/>
  </sheets>
  <calcPr calcId="152511"/>
</workbook>
</file>

<file path=xl/calcChain.xml><?xml version="1.0" encoding="utf-8"?>
<calcChain xmlns="http://schemas.openxmlformats.org/spreadsheetml/2006/main">
  <c r="L32" i="8" l="1"/>
  <c r="O15" i="8"/>
  <c r="F3" i="8"/>
  <c r="D48" i="11"/>
  <c r="E48" i="11"/>
  <c r="A48" i="11" l="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48" i="11" l="1"/>
  <c r="F5" i="3"/>
  <c r="F11" i="2"/>
  <c r="F4" i="2"/>
  <c r="P14" i="10" l="1"/>
  <c r="F21" i="10" l="1"/>
  <c r="F18" i="10"/>
  <c r="F12" i="10"/>
  <c r="E9" i="10"/>
  <c r="D4" i="10"/>
  <c r="F8" i="7"/>
  <c r="F47" i="7"/>
  <c r="F46" i="7"/>
  <c r="F45" i="7"/>
  <c r="F44" i="7"/>
  <c r="F43" i="7"/>
  <c r="F34" i="7"/>
  <c r="F33" i="7"/>
  <c r="F32" i="7"/>
  <c r="F31" i="7"/>
  <c r="F30" i="7"/>
  <c r="F21" i="7"/>
  <c r="F20" i="7"/>
  <c r="F19" i="7"/>
  <c r="F18" i="7"/>
  <c r="F17" i="7"/>
  <c r="F7" i="7"/>
  <c r="F6" i="7"/>
  <c r="F5" i="7"/>
  <c r="F4" i="7"/>
  <c r="F20" i="6"/>
  <c r="F6" i="6"/>
  <c r="F10" i="6" s="1"/>
  <c r="F5" i="6"/>
  <c r="F9" i="6" s="1"/>
  <c r="F3" i="5"/>
  <c r="F5" i="5" s="1"/>
  <c r="F16" i="5"/>
  <c r="F15" i="5"/>
  <c r="F10" i="5"/>
  <c r="F12" i="5" s="1"/>
  <c r="F9" i="5"/>
  <c r="F11" i="5" s="1"/>
  <c r="F4" i="5"/>
  <c r="F6" i="5" s="1"/>
  <c r="F3" i="6" l="1"/>
  <c r="F4" i="6"/>
  <c r="F7" i="6"/>
  <c r="F8" i="6"/>
  <c r="F53" i="7"/>
  <c r="F66" i="7"/>
  <c r="F27" i="7"/>
  <c r="F40" i="7"/>
  <c r="F18" i="5"/>
  <c r="F22" i="5" s="1"/>
  <c r="O10" i="8" s="1"/>
  <c r="F17" i="5"/>
  <c r="F21" i="5" s="1"/>
  <c r="F12" i="6" l="1"/>
  <c r="F11" i="6"/>
  <c r="F23" i="5"/>
  <c r="F17" i="6"/>
  <c r="F4" i="9" s="1"/>
  <c r="F16" i="6"/>
  <c r="F13" i="6" l="1"/>
  <c r="F12" i="8"/>
  <c r="F30" i="9" s="1"/>
  <c r="F6" i="8"/>
  <c r="F9" i="8"/>
  <c r="F21" i="9" s="1"/>
  <c r="F22" i="9"/>
  <c r="O18" i="8"/>
  <c r="F31" i="9"/>
  <c r="F13" i="9"/>
  <c r="F3" i="9"/>
  <c r="O21" i="8"/>
  <c r="O23" i="8"/>
  <c r="F6" i="9" s="1"/>
  <c r="O3" i="8" l="1"/>
  <c r="F33" i="9"/>
  <c r="F35" i="9" s="1"/>
  <c r="F24" i="9"/>
  <c r="F26" i="9" s="1"/>
  <c r="F15" i="9"/>
  <c r="F17" i="9" s="1"/>
  <c r="F8" i="9"/>
  <c r="F5" i="9"/>
  <c r="F7" i="9" s="1"/>
  <c r="F32" i="9"/>
  <c r="F34" i="9" s="1"/>
  <c r="F23" i="9"/>
  <c r="F25" i="9" s="1"/>
  <c r="F14" i="9"/>
  <c r="F12" i="9"/>
  <c r="F27" i="9" l="1"/>
  <c r="F16" i="9"/>
  <c r="F18" i="9" s="1"/>
  <c r="F9" i="9"/>
  <c r="F36" i="9"/>
</calcChain>
</file>

<file path=xl/comments1.xml><?xml version="1.0" encoding="utf-8"?>
<comments xmlns="http://schemas.openxmlformats.org/spreadsheetml/2006/main">
  <authors>
    <author>Domenico</author>
  </authors>
  <commentList>
    <comment ref="I1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Fornite da analisi energetica dell'edificio (L10)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Forniti da analisi energetica dell'edificio (L10)</t>
        </r>
      </text>
    </comment>
    <comment ref="I1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Forniti da analisi energetica dell'edificio (L10)</t>
        </r>
      </text>
    </comment>
  </commentList>
</comments>
</file>

<file path=xl/comments2.xml><?xml version="1.0" encoding="utf-8"?>
<comments xmlns="http://schemas.openxmlformats.org/spreadsheetml/2006/main">
  <authors>
    <author>Domenico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</commentList>
</comments>
</file>

<file path=xl/comments3.xml><?xml version="1.0" encoding="utf-8"?>
<comments xmlns="http://schemas.openxmlformats.org/spreadsheetml/2006/main">
  <authors>
    <author>Domenico</author>
  </authors>
  <commentList>
    <comment ref="F15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31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32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4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6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Fornito dall'analisi energetica dell'edificio</t>
        </r>
      </text>
    </comment>
  </commentList>
</comments>
</file>

<file path=xl/comments4.xml><?xml version="1.0" encoding="utf-8"?>
<comments xmlns="http://schemas.openxmlformats.org/spreadsheetml/2006/main">
  <authors>
    <author>Domenico</author>
  </authors>
  <commentList>
    <comment ref="F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O8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A29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  <comment ref="A44" authorId="0" shapeId="0">
      <text>
        <r>
          <rPr>
            <b/>
            <sz val="9"/>
            <color indexed="81"/>
            <rFont val="Tahoma"/>
            <family val="2"/>
          </rPr>
          <t>Domenico:</t>
        </r>
        <r>
          <rPr>
            <sz val="9"/>
            <color indexed="81"/>
            <rFont val="Tahoma"/>
            <family val="2"/>
          </rPr>
          <t xml:space="preserve">
non ancora disponibile
</t>
        </r>
      </text>
    </comment>
  </commentList>
</comments>
</file>

<file path=xl/comments5.xml><?xml version="1.0" encoding="utf-8"?>
<comments xmlns="http://schemas.openxmlformats.org/spreadsheetml/2006/main">
  <authors>
    <author>Domenico</author>
  </authors>
  <commentList>
    <comment ref="F5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  <comment ref="F32" authorId="0" shapeId="0">
      <text>
        <r>
          <rPr>
            <sz val="9"/>
            <color indexed="81"/>
            <rFont val="Tahoma"/>
            <family val="2"/>
          </rPr>
          <t>Quota millesimale riscaldamento (millesimi di fabbisogno termico) dei costi involontari (perdite di sistema, manutenzione ord. E contabilizzazione)</t>
        </r>
      </text>
    </comment>
    <comment ref="F33" authorId="0" shapeId="0">
      <text>
        <r>
          <rPr>
            <sz val="9"/>
            <color indexed="81"/>
            <rFont val="Tahoma"/>
            <family val="2"/>
          </rPr>
          <t>Quota millesimale ACS (millesimi di fabbisogno termico) dei costi involontari (perdite di sistema, manutenzione ord. E contabilizzazione)</t>
        </r>
      </text>
    </comment>
  </commentList>
</comments>
</file>

<file path=xl/sharedStrings.xml><?xml version="1.0" encoding="utf-8"?>
<sst xmlns="http://schemas.openxmlformats.org/spreadsheetml/2006/main" count="688" uniqueCount="373">
  <si>
    <t>Generatori</t>
  </si>
  <si>
    <t>Tipologia di contabilizzazione dell'energia termica utile prodotta dal generatore</t>
  </si>
  <si>
    <t>Numero di unità immobiliare</t>
  </si>
  <si>
    <t>Numero di locali ad uso collettivo</t>
  </si>
  <si>
    <t>Tipologia di contabilizzazione dei consumi di energia termica utile delle unità immobiliari per climatizzazione invernale</t>
  </si>
  <si>
    <t>Tipologia di contabilizzazione dei consumi di energia termica utile delle unità immobiliari per ACS</t>
  </si>
  <si>
    <t>Periodo considerato</t>
  </si>
  <si>
    <t>Criterio di ripartizione della spesa totale per potenza termica installata per climatizzazione invernale</t>
  </si>
  <si>
    <t>Spesa totale per conduzione e manutenzione ordinaria dell'impianto centralizzato</t>
  </si>
  <si>
    <t xml:space="preserve">Spesa totale per la gestione del servizio di contabilizzazione dell'energia termica utile </t>
  </si>
  <si>
    <t>Perdite dell'impianto di climatizzazione invernale nel periodo considerato</t>
  </si>
  <si>
    <t>Fabbisogno annuo di energia termica dell'edificio utile per climatizzazione invernale</t>
  </si>
  <si>
    <t>Fabbisogno annuo di enrgia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</si>
  <si>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h,acs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</si>
  <si>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h,cli</t>
    </r>
  </si>
  <si>
    <r>
      <t>P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</si>
  <si>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</t>
    </r>
  </si>
  <si>
    <r>
      <t>S</t>
    </r>
    <r>
      <rPr>
        <vertAlign val="subscript"/>
        <sz val="11"/>
        <color theme="1"/>
        <rFont val="Calibri"/>
        <family val="2"/>
        <scheme val="minor"/>
      </rPr>
      <t>cm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</si>
  <si>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</t>
    </r>
  </si>
  <si>
    <t>Vettore 1</t>
  </si>
  <si>
    <t>Vettore 2</t>
  </si>
  <si>
    <t>Vettori energetici:</t>
  </si>
  <si>
    <t>gas naturale</t>
  </si>
  <si>
    <t>energia elettrica</t>
  </si>
  <si>
    <t>generatore a combustione per climatizzazione invernale e ACS</t>
  </si>
  <si>
    <t>contatore di calore</t>
  </si>
  <si>
    <t>ripartitori</t>
  </si>
  <si>
    <t>contatori volumetrici</t>
  </si>
  <si>
    <t>stagione annuale</t>
  </si>
  <si>
    <t>millesimi di fabbisogno di energia termica utile</t>
  </si>
  <si>
    <t>kWh</t>
  </si>
  <si>
    <t>€</t>
  </si>
  <si>
    <t>Lettura iniziale del contatore di combustibile</t>
  </si>
  <si>
    <t>Lettura finale del contatore di combustibile</t>
  </si>
  <si>
    <t>Fabbisogno per climatizzazione invernale nel periodo considerato</t>
  </si>
  <si>
    <t>Fabbisogno per ACS nel periodo considerato</t>
  </si>
  <si>
    <t>Costo unitario</t>
  </si>
  <si>
    <r>
      <t>L</t>
    </r>
    <r>
      <rPr>
        <vertAlign val="subscript"/>
        <sz val="11"/>
        <color theme="1"/>
        <rFont val="Calibri"/>
        <family val="2"/>
        <scheme val="minor"/>
      </rPr>
      <t>1,ct,1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</si>
  <si>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</si>
  <si>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</si>
  <si>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</si>
  <si>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ve,1</t>
    </r>
  </si>
  <si>
    <t>mc</t>
  </si>
  <si>
    <t>€/mc</t>
  </si>
  <si>
    <t>Vettore 2 (energia elettrica)</t>
  </si>
  <si>
    <t>Lettura iniziale del contatore di energia elettrica</t>
  </si>
  <si>
    <t>Lettura finale del contatore di energia elettrica</t>
  </si>
  <si>
    <t>Vettore 1 (combustibile)</t>
  </si>
  <si>
    <t>€/kWh</t>
  </si>
  <si>
    <t>Generatore</t>
  </si>
  <si>
    <t>Lettura iniziale del contatore di calore</t>
  </si>
  <si>
    <t>Lettura finale del contatore di calore</t>
  </si>
  <si>
    <t>Fabbisogno  di energia termica utile applicato al generatore per climatizzazione invernale nel periodo considerato</t>
  </si>
  <si>
    <t>Fabbisogno  di energia termica utile applicato al generatore per ACS nel periodo considerato</t>
  </si>
  <si>
    <r>
      <t>L</t>
    </r>
    <r>
      <rPr>
        <vertAlign val="subscript"/>
        <sz val="11"/>
        <color theme="1"/>
        <rFont val="Calibri"/>
        <family val="2"/>
        <scheme val="minor"/>
      </rPr>
      <t>1,cc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</si>
  <si>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2,cc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</si>
  <si>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</si>
  <si>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Q'</t>
    </r>
    <r>
      <rPr>
        <vertAlign val="subscript"/>
        <sz val="11"/>
        <color theme="1"/>
        <rFont val="Calibri"/>
        <family val="2"/>
        <scheme val="minor"/>
      </rPr>
      <t>gn,acs</t>
    </r>
  </si>
  <si>
    <t>Unità immobiliare</t>
  </si>
  <si>
    <t>Lettura iniziale ripartitore - corpo scaldante 1</t>
  </si>
  <si>
    <t>Lettura iniziale ripartitore - corpo scaldante 2</t>
  </si>
  <si>
    <t>Lettura finale ripartitore - corpo scaldante 1</t>
  </si>
  <si>
    <r>
      <t>L</t>
    </r>
    <r>
      <rPr>
        <vertAlign val="subscript"/>
        <sz val="11"/>
        <color theme="1"/>
        <rFont val="Calibri"/>
        <family val="2"/>
        <scheme val="minor"/>
      </rPr>
      <t>1,r,1,1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</si>
  <si>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2,r,1,1</t>
    </r>
  </si>
  <si>
    <t>Lettura finale ripartitore - corpo scaldante 2</t>
  </si>
  <si>
    <t>Lettura iniziale ripartitore - corpo scaldante 3</t>
  </si>
  <si>
    <t>Lettura finale ripartitore - corpo scaldante 3</t>
  </si>
  <si>
    <t>Lettura iniziale ripartitore - corpo scaldante 4</t>
  </si>
  <si>
    <t>Lettura finale ripartitore - corpo scaldante 4</t>
  </si>
  <si>
    <t>Lettura iniziale ripartitore - corpo scaldante 5</t>
  </si>
  <si>
    <t>Lettura finale ripartitore - corpo scaldante 5</t>
  </si>
  <si>
    <r>
      <t>L</t>
    </r>
    <r>
      <rPr>
        <vertAlign val="subscript"/>
        <sz val="11"/>
        <color theme="1"/>
        <rFont val="Calibri"/>
        <family val="2"/>
        <scheme val="minor"/>
      </rPr>
      <t>1,r,2,1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</si>
  <si>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</si>
  <si>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</si>
  <si>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</si>
  <si>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</si>
  <si>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2,r,4,1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</si>
  <si>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</si>
  <si>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2,r,5,1</t>
    </r>
  </si>
  <si>
    <t>Lettura iniziale del contatore volumetrico</t>
  </si>
  <si>
    <t>Lettura finale del contatore volumetrico</t>
  </si>
  <si>
    <r>
      <t>L</t>
    </r>
    <r>
      <rPr>
        <vertAlign val="subscript"/>
        <sz val="11"/>
        <color theme="1"/>
        <rFont val="Calibri"/>
        <family val="2"/>
        <scheme val="minor"/>
      </rPr>
      <t>1,cv,1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</si>
  <si>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2,cv,1</t>
    </r>
  </si>
  <si>
    <t>Millesimi di fabbisogno di energiatermica utile per climatizzazione invernale</t>
  </si>
  <si>
    <t>Millesimi di fabbisogno di energiatermica utile per ACS</t>
  </si>
  <si>
    <r>
      <t>m</t>
    </r>
    <r>
      <rPr>
        <vertAlign val="subscript"/>
        <sz val="11"/>
        <color theme="1"/>
        <rFont val="Calibri"/>
        <family val="2"/>
        <scheme val="minor"/>
      </rPr>
      <t>Qh,cli,1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</si>
  <si>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Qh,acs,1</t>
    </r>
  </si>
  <si>
    <t>ur</t>
  </si>
  <si>
    <r>
      <t>k</t>
    </r>
    <r>
      <rPr>
        <vertAlign val="subscript"/>
        <sz val="11"/>
        <color theme="1"/>
        <rFont val="Calibri"/>
        <family val="2"/>
        <scheme val="minor"/>
      </rPr>
      <t>cli,1</t>
    </r>
  </si>
  <si>
    <t>Calcolo del coefficiente di ripartizione per ACS</t>
  </si>
  <si>
    <r>
      <t>k</t>
    </r>
    <r>
      <rPr>
        <vertAlign val="subscript"/>
        <sz val="11"/>
        <color theme="1"/>
        <rFont val="Calibri"/>
        <family val="2"/>
        <scheme val="minor"/>
      </rPr>
      <t>acs,1</t>
    </r>
  </si>
  <si>
    <t>Calcolo del consumo per Riscaldamento</t>
  </si>
  <si>
    <t>Calcolo del coefficiente di ripartizione per Riscaldamento</t>
  </si>
  <si>
    <t>Calcolo del consumo per ACS</t>
  </si>
  <si>
    <r>
      <t>Q</t>
    </r>
    <r>
      <rPr>
        <vertAlign val="subscript"/>
        <sz val="11"/>
        <color theme="1"/>
        <rFont val="Calibri"/>
        <family val="2"/>
        <scheme val="minor"/>
      </rPr>
      <t>ve,cli,1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</si>
  <si>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ve,acs,1</t>
    </r>
  </si>
  <si>
    <r>
      <t>k</t>
    </r>
    <r>
      <rPr>
        <vertAlign val="subscript"/>
        <sz val="11"/>
        <color theme="1"/>
        <rFont val="Calibri"/>
        <family val="2"/>
        <scheme val="minor"/>
      </rPr>
      <t>cli,2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</si>
  <si>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</si>
  <si>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</si>
  <si>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</si>
  <si>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1,ct,2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</si>
  <si>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2,ct,2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</si>
  <si>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ve,cli,2</t>
    </r>
  </si>
  <si>
    <r>
      <t>Q'</t>
    </r>
    <r>
      <rPr>
        <vertAlign val="subscript"/>
        <sz val="11"/>
        <color theme="1"/>
        <rFont val="Calibri"/>
        <family val="2"/>
        <scheme val="minor"/>
      </rPr>
      <t>ve,acs,2</t>
    </r>
  </si>
  <si>
    <r>
      <t>C</t>
    </r>
    <r>
      <rPr>
        <vertAlign val="subscript"/>
        <sz val="11"/>
        <color theme="1"/>
        <rFont val="Calibri"/>
        <family val="2"/>
        <scheme val="minor"/>
      </rPr>
      <t>ve,2</t>
    </r>
  </si>
  <si>
    <t>Calcolo dei contributi di energia termica utile del generatore</t>
  </si>
  <si>
    <r>
      <t>k</t>
    </r>
    <r>
      <rPr>
        <vertAlign val="subscript"/>
        <sz val="11"/>
        <color theme="1"/>
        <rFont val="Calibri"/>
        <family val="2"/>
        <scheme val="minor"/>
      </rPr>
      <t>cli</t>
    </r>
  </si>
  <si>
    <r>
      <t>k</t>
    </r>
    <r>
      <rPr>
        <vertAlign val="subscript"/>
        <sz val="11"/>
        <color theme="1"/>
        <rFont val="Calibri"/>
        <family val="2"/>
        <scheme val="minor"/>
      </rPr>
      <t>acs</t>
    </r>
  </si>
  <si>
    <t>Calcolo del contributo di energia termica utile per Riscaldamento</t>
  </si>
  <si>
    <t>Calcolo del contributo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</si>
  <si>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gn,cli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</si>
  <si>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gn,acs</t>
    </r>
  </si>
  <si>
    <t>Calcolo del consumo totale di energia termica utile dell'edificio per Riscaldamento e ACS</t>
  </si>
  <si>
    <t>Calcolo del consumo totale di energia termica utile dell'edificio per Riscaldamento</t>
  </si>
  <si>
    <t>Calcolo del consumo totale di energia termica utile dell'edificio per ACS</t>
  </si>
  <si>
    <r>
      <t>Q</t>
    </r>
    <r>
      <rPr>
        <vertAlign val="subscript"/>
        <sz val="11"/>
        <color theme="1"/>
        <rFont val="Calibri"/>
        <family val="2"/>
        <scheme val="minor"/>
      </rPr>
      <t>cli</t>
    </r>
  </si>
  <si>
    <r>
      <t>Q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</si>
  <si>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t</t>
    </r>
  </si>
  <si>
    <t>Calcolo della spesa totale per Riscaldamento e ACS</t>
  </si>
  <si>
    <t>Calcolo della spesa energetica per Riscaldamento</t>
  </si>
  <si>
    <t>Calcolo della spesa energetica per ACS</t>
  </si>
  <si>
    <t>Calcolo della spesa per conduzione e manutenzione ordinaria dell'impianto termico centralizzato per Riscaldamento</t>
  </si>
  <si>
    <t>Calcolo della spesa per conduzione e manutenzione ordinaria dell'impianto termico centralizzato per ACS</t>
  </si>
  <si>
    <r>
      <t>S</t>
    </r>
    <r>
      <rPr>
        <vertAlign val="subscript"/>
        <sz val="11"/>
        <color theme="1"/>
        <rFont val="Calibri"/>
        <family val="2"/>
        <scheme val="minor"/>
      </rPr>
      <t>cm,cli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</si>
  <si>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cm,acs</t>
    </r>
  </si>
  <si>
    <t>Calcolo della spesa per la gestione del servizio di contabilizzazione dell'energia termica utile per Riscaldamento</t>
  </si>
  <si>
    <t>Calcolo della spesa per la gestione del servizio di contabilizzazione dell'energia termica utile per ACS</t>
  </si>
  <si>
    <r>
      <t>S</t>
    </r>
    <r>
      <rPr>
        <vertAlign val="subscript"/>
        <sz val="11"/>
        <color theme="1"/>
        <rFont val="Calibri"/>
        <family val="2"/>
        <scheme val="minor"/>
      </rPr>
      <t>cr,cli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</si>
  <si>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cr,acs</t>
    </r>
  </si>
  <si>
    <t>Calcolo della spesa totale per Riscaldamento</t>
  </si>
  <si>
    <t>Calcolo della spesa totale per ACS</t>
  </si>
  <si>
    <r>
      <t>S</t>
    </r>
    <r>
      <rPr>
        <vertAlign val="subscript"/>
        <sz val="11"/>
        <color theme="1"/>
        <rFont val="Calibri"/>
        <family val="2"/>
        <scheme val="minor"/>
      </rPr>
      <t>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</si>
  <si>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</si>
  <si>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t</t>
    </r>
  </si>
  <si>
    <r>
      <t>S</t>
    </r>
    <r>
      <rPr>
        <vertAlign val="subscript"/>
        <sz val="11"/>
        <color theme="1"/>
        <rFont val="Calibri"/>
        <family val="2"/>
        <scheme val="minor"/>
      </rPr>
      <t>e,cli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</si>
  <si>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e,acs</t>
    </r>
  </si>
  <si>
    <t>Calcolo dei costi unitari dell'energia termica utile</t>
  </si>
  <si>
    <t>Calcolo del costo unitario dell'energia termica utile per Riscaldamento</t>
  </si>
  <si>
    <t>Calcolo del costo unitario dell'energia termica utile per ACS</t>
  </si>
  <si>
    <t>Calcolo del consumo involontario di energia termica utile per Riscaldamento</t>
  </si>
  <si>
    <t>Calcolo del consumo involontario</t>
  </si>
  <si>
    <r>
      <t>c</t>
    </r>
    <r>
      <rPr>
        <vertAlign val="subscript"/>
        <sz val="11"/>
        <color theme="1"/>
        <rFont val="Calibri"/>
        <family val="2"/>
        <scheme val="minor"/>
      </rPr>
      <t>cli</t>
    </r>
  </si>
  <si>
    <r>
      <t>c</t>
    </r>
    <r>
      <rPr>
        <vertAlign val="subscript"/>
        <sz val="11"/>
        <color theme="1"/>
        <rFont val="Calibri"/>
        <family val="2"/>
        <scheme val="minor"/>
      </rPr>
      <t>acs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</si>
  <si>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inv,cli</t>
    </r>
  </si>
  <si>
    <t>Calcolo delle unità di ripartizione delle singole unità immobiliari</t>
  </si>
  <si>
    <t>Calcolo delle unità di ripartizione del corpo scaldante 1</t>
  </si>
  <si>
    <r>
      <t>ur</t>
    </r>
    <r>
      <rPr>
        <vertAlign val="subscript"/>
        <sz val="11"/>
        <color theme="1"/>
        <rFont val="Calibri"/>
        <family val="2"/>
        <scheme val="minor"/>
      </rPr>
      <t>cs,1,1</t>
    </r>
  </si>
  <si>
    <t>Calcolo delle unità di ripartizione del corpo scaldante 2</t>
  </si>
  <si>
    <t>Calcolo delle unità di ripartizione del corpo scaldante 3</t>
  </si>
  <si>
    <t>Calcolo delle unità di ripartizione del corpo scaldante 4</t>
  </si>
  <si>
    <t>Calcolo delle unità di ripartizione del corpo scaldante 5</t>
  </si>
  <si>
    <t>Calcolo delle unità di ripartizione del corpo scaldante i-esimo</t>
  </si>
  <si>
    <t>Calcolo delle unità di ripartizione dell'unità immobiliare</t>
  </si>
  <si>
    <r>
      <t>ur</t>
    </r>
    <r>
      <rPr>
        <vertAlign val="subscript"/>
        <sz val="11"/>
        <color theme="1"/>
        <rFont val="Calibri"/>
        <family val="2"/>
        <scheme val="minor"/>
      </rPr>
      <t>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</si>
  <si>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</si>
  <si>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</si>
  <si>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</si>
  <si>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cs,5,1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</si>
  <si>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cs,i,1</t>
    </r>
  </si>
  <si>
    <t>Unità immobiliare 1</t>
  </si>
  <si>
    <t>Unità immobiliare 2</t>
  </si>
  <si>
    <t>Unità immobiliare 3</t>
  </si>
  <si>
    <t>Unità immobiliare 4</t>
  </si>
  <si>
    <t>Unità immobiliare i-esima</t>
  </si>
  <si>
    <r>
      <t>ur</t>
    </r>
    <r>
      <rPr>
        <vertAlign val="subscript"/>
        <sz val="11"/>
        <color theme="1"/>
        <rFont val="Calibri"/>
        <family val="2"/>
        <scheme val="minor"/>
      </rPr>
      <t>cs,1,2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</si>
  <si>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</si>
  <si>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</si>
  <si>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</si>
  <si>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</si>
  <si>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cs,i,2</t>
    </r>
  </si>
  <si>
    <r>
      <t>ur</t>
    </r>
    <r>
      <rPr>
        <vertAlign val="subscript"/>
        <sz val="11"/>
        <color theme="1"/>
        <rFont val="Calibri"/>
        <family val="2"/>
        <scheme val="minor"/>
      </rPr>
      <t>2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</si>
  <si>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</si>
  <si>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</si>
  <si>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</si>
  <si>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</si>
  <si>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</si>
  <si>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cs,i,3</t>
    </r>
  </si>
  <si>
    <r>
      <t>ur</t>
    </r>
    <r>
      <rPr>
        <vertAlign val="subscript"/>
        <sz val="11"/>
        <color theme="1"/>
        <rFont val="Calibri"/>
        <family val="2"/>
        <scheme val="minor"/>
      </rPr>
      <t>3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</si>
  <si>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</si>
  <si>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</si>
  <si>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</si>
  <si>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</si>
  <si>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</si>
  <si>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cs,i,4</t>
    </r>
  </si>
  <si>
    <r>
      <t>ur</t>
    </r>
    <r>
      <rPr>
        <vertAlign val="subscript"/>
        <sz val="11"/>
        <color theme="1"/>
        <rFont val="Calibri"/>
        <family val="2"/>
        <scheme val="minor"/>
      </rPr>
      <t>4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</si>
  <si>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cs,1,i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</si>
  <si>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cs,2,i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</si>
  <si>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cs,3,i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</si>
  <si>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cs,4,i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</si>
  <si>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cs,5,i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</si>
  <si>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cs,i,i</t>
    </r>
  </si>
  <si>
    <r>
      <t>ur</t>
    </r>
    <r>
      <rPr>
        <vertAlign val="subscript"/>
        <sz val="11"/>
        <color theme="1"/>
        <rFont val="Calibri"/>
        <family val="2"/>
        <scheme val="minor"/>
      </rPr>
      <t>i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</si>
  <si>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</si>
  <si>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</si>
  <si>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</si>
  <si>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</si>
  <si>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</si>
  <si>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</si>
  <si>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</si>
  <si>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</si>
  <si>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</si>
  <si>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</si>
  <si>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1,cv,2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</si>
  <si>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</si>
  <si>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Qh,cli,2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</si>
  <si>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Qh,acs,2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</si>
  <si>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</si>
  <si>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</si>
  <si>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</si>
  <si>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</si>
  <si>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</si>
  <si>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</si>
  <si>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</si>
  <si>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</si>
  <si>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</si>
  <si>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</si>
  <si>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1,cv,3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</si>
  <si>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</si>
  <si>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Qh,cli,3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</si>
  <si>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Qh,acs,3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</si>
  <si>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</si>
  <si>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2,r,1,4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</si>
  <si>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</si>
  <si>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2,r,2,4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</si>
  <si>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</si>
  <si>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2,r,3,4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</si>
  <si>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</si>
  <si>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2,r,4,4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</si>
  <si>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</si>
  <si>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2,r,5,4</t>
    </r>
  </si>
  <si>
    <r>
      <t>L</t>
    </r>
    <r>
      <rPr>
        <vertAlign val="subscript"/>
        <sz val="11"/>
        <color theme="1"/>
        <rFont val="Calibri"/>
        <family val="2"/>
        <scheme val="minor"/>
      </rPr>
      <t>1,cv,4</t>
    </r>
  </si>
  <si>
    <r>
      <t>L</t>
    </r>
    <r>
      <rPr>
        <vertAlign val="subscript"/>
        <sz val="11"/>
        <color theme="1"/>
        <rFont val="Calibri"/>
        <family val="2"/>
        <scheme val="minor"/>
      </rPr>
      <t>2,cv,4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</si>
  <si>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Qh,cli,4</t>
    </r>
  </si>
  <si>
    <r>
      <t>m</t>
    </r>
    <r>
      <rPr>
        <vertAlign val="subscript"/>
        <sz val="11"/>
        <color theme="1"/>
        <rFont val="Calibri"/>
        <family val="2"/>
        <scheme val="minor"/>
      </rPr>
      <t>Qh,acs,4</t>
    </r>
  </si>
  <si>
    <t>Calcolo dei consumi di energia termica utile dellesingole unità immobiliari</t>
  </si>
  <si>
    <t>Unità 1</t>
  </si>
  <si>
    <t>Calcolo dei consumi di energia termica utile per Riscaldamento</t>
  </si>
  <si>
    <t>Calcolo dei consumi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</si>
  <si>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</si>
  <si>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ui,acs,1</t>
    </r>
  </si>
  <si>
    <t>Unità i-esima</t>
  </si>
  <si>
    <t>Unità 2</t>
  </si>
  <si>
    <t>Unità 3</t>
  </si>
  <si>
    <t>Unità 4</t>
  </si>
  <si>
    <t>Unità di rpartizione totale</t>
  </si>
  <si>
    <t>Calcolo delle componenti del consumo totale di energia termica utile dell'edificio per Riscaldamento e ACS</t>
  </si>
  <si>
    <t xml:space="preserve">Calcolo delle componenti del consumo totale di energia termica utile dell'unità immobiliari per Riscaldamento </t>
  </si>
  <si>
    <t>Calcolo delle componenti del consumo totale di energia termica utile dell'unità immobiliari per ACS</t>
  </si>
  <si>
    <t>Calcolo del consumo involontario di energia termica utile per ACS</t>
  </si>
  <si>
    <r>
      <t>Q</t>
    </r>
    <r>
      <rPr>
        <vertAlign val="subscript"/>
        <sz val="11"/>
        <color theme="1"/>
        <rFont val="Calibri"/>
        <family val="2"/>
        <scheme val="minor"/>
      </rPr>
      <t>ui,cli,t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</si>
  <si>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ui,acs,t</t>
    </r>
  </si>
  <si>
    <r>
      <t>Q</t>
    </r>
    <r>
      <rPr>
        <vertAlign val="subscript"/>
        <sz val="11"/>
        <color theme="1"/>
        <rFont val="Calibri"/>
        <family val="2"/>
        <scheme val="minor"/>
      </rPr>
      <t>inv,acs</t>
    </r>
  </si>
  <si>
    <t>Calcolo delle componenti della spesa totale per Riscaldamento e ACS</t>
  </si>
  <si>
    <t>Calcolo delle componenti della spesa totale per il consumo di energia termica utile delle unità immobiliari per Riscaldamento</t>
  </si>
  <si>
    <t>Calcolo delle componenti della spesa totale per il consumo di energia termica utile delle unità immobiliari per ACS</t>
  </si>
  <si>
    <t>Calcolo della spesa totale per potenza termica installata per Riscaldamento</t>
  </si>
  <si>
    <t>Calcolo della spesa totale per potenza termica installata per ACS</t>
  </si>
  <si>
    <r>
      <t>S</t>
    </r>
    <r>
      <rPr>
        <vertAlign val="subscript"/>
        <sz val="11"/>
        <color theme="1"/>
        <rFont val="Calibri"/>
        <family val="2"/>
        <scheme val="minor"/>
      </rPr>
      <t>ui,cli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</si>
  <si>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</si>
  <si>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</t>
    </r>
  </si>
  <si>
    <t>Calcolo delle spese delle singole unità immobiliari</t>
  </si>
  <si>
    <t>Calcolo della spesa per il consumo di energia termica utile per riscaldamento</t>
  </si>
  <si>
    <t>Calcolo della spesa per il consumo di energia termica utile per ACS</t>
  </si>
  <si>
    <t>Calcolo della spesa per potenza termica installata per Riscaldamento</t>
  </si>
  <si>
    <t>Calcolo della spesa per potenza termica installata per ACS</t>
  </si>
  <si>
    <t>Calcolo della spesa totale per unità</t>
  </si>
  <si>
    <r>
      <t>S</t>
    </r>
    <r>
      <rPr>
        <vertAlign val="subscript"/>
        <sz val="11"/>
        <color theme="1"/>
        <rFont val="Calibri"/>
        <family val="2"/>
        <scheme val="minor"/>
      </rPr>
      <t>ui,cli,1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</si>
  <si>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ui,acs,1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</si>
  <si>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</si>
  <si>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p,acs,1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</si>
  <si>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cli,1</t>
    </r>
  </si>
  <si>
    <r>
      <t>S</t>
    </r>
    <r>
      <rPr>
        <vertAlign val="subscript"/>
        <sz val="11"/>
        <color theme="1"/>
        <rFont val="Calibri"/>
        <family val="2"/>
        <scheme val="minor"/>
      </rPr>
      <t>acs,1</t>
    </r>
  </si>
  <si>
    <r>
      <t>S</t>
    </r>
    <r>
      <rPr>
        <vertAlign val="subscript"/>
        <sz val="11"/>
        <color theme="1"/>
        <rFont val="Calibri"/>
        <family val="2"/>
        <scheme val="minor"/>
      </rPr>
      <t>t,1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</si>
  <si>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</si>
  <si>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ui,acs,2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</si>
  <si>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</si>
  <si>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ui,acs,3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</si>
  <si>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ui,cli,4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</si>
  <si>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ui,acs,4</t>
    </r>
  </si>
  <si>
    <r>
      <t>Q</t>
    </r>
    <r>
      <rPr>
        <vertAlign val="subscript"/>
        <sz val="11"/>
        <color theme="1"/>
        <rFont val="Calibri"/>
        <family val="2"/>
        <scheme val="minor"/>
      </rPr>
      <t>ui,cli,i</t>
    </r>
  </si>
  <si>
    <t>dove</t>
  </si>
  <si>
    <t>L2,cv</t>
  </si>
  <si>
    <t>L1,cv</t>
  </si>
  <si>
    <r>
      <t>lettura iniziale contatore volumetrico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</si>
  <si>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lettura finale contatore volumetrico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</si>
  <si>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mv</t>
  </si>
  <si>
    <r>
      <t>massa volumica acqua (1000 kg/m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</si>
  <si>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qp</t>
  </si>
  <si>
    <t>θacs</t>
  </si>
  <si>
    <t>temperatura media acqua ACS nel pun to di misura del volume prelevato (tipicamente 48°C)</t>
  </si>
  <si>
    <t>θf</t>
  </si>
  <si>
    <t>temperatura media dell'acqua fredda (15°C)</t>
  </si>
  <si>
    <t>esempio Unità 1</t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</si>
  <si>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ui,acs,1=  </t>
    </r>
    <r>
      <rPr>
        <sz val="11"/>
        <color theme="1"/>
        <rFont val="Calibri"/>
        <family val="2"/>
        <scheme val="minor"/>
      </rPr>
      <t>(L</t>
    </r>
    <r>
      <rPr>
        <vertAlign val="subscript"/>
        <sz val="11"/>
        <color theme="1"/>
        <rFont val="Calibri"/>
        <family val="2"/>
        <scheme val="minor"/>
      </rPr>
      <t xml:space="preserve">2,cv </t>
    </r>
    <r>
      <rPr>
        <sz val="11"/>
        <color theme="1"/>
        <rFont val="Calibri"/>
        <family val="2"/>
        <scheme val="minor"/>
      </rPr>
      <t>- L</t>
    </r>
    <r>
      <rPr>
        <vertAlign val="subscript"/>
        <sz val="11"/>
        <color theme="1"/>
        <rFont val="Calibri"/>
        <family val="2"/>
        <scheme val="minor"/>
      </rPr>
      <t>1,cv</t>
    </r>
    <r>
      <rPr>
        <sz val="11"/>
        <color theme="1"/>
        <rFont val="Calibri"/>
        <family val="2"/>
        <scheme val="minor"/>
      </rPr>
      <t>) x m</t>
    </r>
    <r>
      <rPr>
        <vertAlign val="subscript"/>
        <sz val="11"/>
        <color theme="1"/>
        <rFont val="Calibri"/>
        <family val="2"/>
        <scheme val="minor"/>
      </rPr>
      <t xml:space="preserve">v </t>
    </r>
    <r>
      <rPr>
        <sz val="11"/>
        <color theme="1"/>
        <rFont val="Calibri"/>
        <family val="2"/>
        <scheme val="minor"/>
      </rPr>
      <t>x q</t>
    </r>
    <r>
      <rPr>
        <vertAlign val="subscript"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>x (θ</t>
    </r>
    <r>
      <rPr>
        <vertAlign val="subscript"/>
        <sz val="11"/>
        <color theme="1"/>
        <rFont val="Calibri"/>
        <family val="2"/>
        <scheme val="minor"/>
      </rPr>
      <t xml:space="preserve">acs </t>
    </r>
    <r>
      <rPr>
        <sz val="11"/>
        <color theme="1"/>
        <rFont val="Calibri"/>
        <family val="2"/>
        <scheme val="minor"/>
      </rPr>
      <t>- θ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)       [kWh]</t>
    </r>
  </si>
  <si>
    <r>
      <t>Qui,acs,1=  (100 - 0) x1,162 x 10</t>
    </r>
    <r>
      <rPr>
        <vertAlign val="superscript"/>
        <sz val="11"/>
        <color theme="1"/>
        <rFont val="Calibri"/>
        <family val="2"/>
        <scheme val="minor"/>
      </rPr>
      <t xml:space="preserve">-3 </t>
    </r>
    <r>
      <rPr>
        <sz val="11"/>
        <color theme="1"/>
        <rFont val="Calibri"/>
        <family val="2"/>
        <scheme val="minor"/>
      </rPr>
      <t>x 1000 x (48-15) = 3834,6  kWh</t>
    </r>
  </si>
  <si>
    <r>
      <t>calore specifico acqua a pressione costante  (1,162 x 10</t>
    </r>
    <r>
      <rPr>
        <vertAlign val="superscript"/>
        <sz val="11"/>
        <color theme="1"/>
        <rFont val="Calibri"/>
        <family val="2"/>
        <scheme val="minor"/>
      </rPr>
      <t xml:space="preserve">-3 </t>
    </r>
    <r>
      <rPr>
        <sz val="11"/>
        <color theme="1"/>
        <rFont val="Calibri"/>
        <family val="2"/>
        <scheme val="minor"/>
      </rPr>
      <t>Wh/kg x °C)</t>
    </r>
  </si>
  <si>
    <r>
      <t>Q</t>
    </r>
    <r>
      <rPr>
        <vertAlign val="subscript"/>
        <sz val="11"/>
        <color theme="1"/>
        <rFont val="Calibri"/>
        <family val="2"/>
        <scheme val="minor"/>
      </rPr>
      <t xml:space="preserve">ui,acs,t = </t>
    </r>
    <r>
      <rPr>
        <sz val="11"/>
        <color theme="1"/>
        <rFont val="Calibri"/>
        <family val="2"/>
        <scheme val="minor"/>
      </rPr>
      <t>Q</t>
    </r>
    <r>
      <rPr>
        <vertAlign val="subscript"/>
        <sz val="11"/>
        <color theme="1"/>
        <rFont val="Calibri"/>
        <family val="2"/>
        <scheme val="minor"/>
      </rPr>
      <t>ui,acs,1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ui,acs,2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ui,acs,3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ui,acs,4</t>
    </r>
    <r>
      <rPr>
        <sz val="11"/>
        <color theme="1"/>
        <rFont val="Calibri"/>
        <family val="2"/>
        <scheme val="minor"/>
      </rPr>
      <t xml:space="preserve"> + Q</t>
    </r>
    <r>
      <rPr>
        <vertAlign val="subscript"/>
        <sz val="11"/>
        <color theme="1"/>
        <rFont val="Calibri"/>
        <family val="2"/>
        <scheme val="minor"/>
      </rPr>
      <t>ui,acs,i-esima</t>
    </r>
  </si>
  <si>
    <t>scheda9formula4</t>
  </si>
  <si>
    <t>=</t>
  </si>
  <si>
    <t>scheda8formula9*(scheda4F16/1000)</t>
  </si>
  <si>
    <t>6605*(25,766/1000)</t>
  </si>
  <si>
    <t>scheda8formula9</t>
  </si>
  <si>
    <t>(scheda6formua13*scheda8formula5)+(scheda6formula6+scheda6formula8)</t>
  </si>
  <si>
    <t>(0,1*62032)+(200,25+182,07)</t>
  </si>
  <si>
    <t>scheda6formula13</t>
  </si>
  <si>
    <t>scheda8formula5</t>
  </si>
  <si>
    <t>scheda6fomrula6</t>
  </si>
  <si>
    <t>scheda6formula8</t>
  </si>
  <si>
    <t>scheda4F16</t>
  </si>
  <si>
    <t>millesimi ACS</t>
  </si>
  <si>
    <t>scheda6formula2/scheda5formula10</t>
  </si>
  <si>
    <t>scheda1I13*scheda6formula4</t>
  </si>
  <si>
    <t>scehda1I14*scheda6formula4</t>
  </si>
  <si>
    <t>7779,71/77754</t>
  </si>
  <si>
    <t>1892*0,11</t>
  </si>
  <si>
    <t>1720,20*0,11</t>
  </si>
  <si>
    <t>scheda5formula10-scheda8formula4</t>
  </si>
  <si>
    <t>36124*0,11</t>
  </si>
  <si>
    <t>lettura acs</t>
  </si>
  <si>
    <t>consumi energia termica acs</t>
  </si>
  <si>
    <t>lettura HCA</t>
  </si>
  <si>
    <t>consumi energia termica HCA</t>
  </si>
  <si>
    <t>COSTI PER UNITA' espressi in € - VALORI DAL 01/01/2017 AL 31/12/2017</t>
  </si>
  <si>
    <t>Denominazione</t>
  </si>
  <si>
    <t>Ripartitori installati</t>
  </si>
  <si>
    <t>Lettura HCA</t>
  </si>
  <si>
    <t>ALBERIZZI / PICCIRILLI</t>
  </si>
  <si>
    <t>ALBERIZZI/PISANI- INQ. APONE CLAUDIO</t>
  </si>
  <si>
    <t>APONE GIULIO</t>
  </si>
  <si>
    <t>BADINI</t>
  </si>
  <si>
    <t>BARBIERI</t>
  </si>
  <si>
    <t>BATTISTOTTI / LANDI</t>
  </si>
  <si>
    <t>BELLOMI VIVIANA</t>
  </si>
  <si>
    <t>BERTUCCA IVAN</t>
  </si>
  <si>
    <t>BLEJUT STEFAN</t>
  </si>
  <si>
    <t>BOLLANI ANGELINA</t>
  </si>
  <si>
    <t>CARENZIO - INQ.PAJERO</t>
  </si>
  <si>
    <t>CASSE' INQ. PEZZINI</t>
  </si>
  <si>
    <t>CASSE NATALIA</t>
  </si>
  <si>
    <t>CAVALLOTTI / RIZZI</t>
  </si>
  <si>
    <t>CAYA</t>
  </si>
  <si>
    <t>CEVARZERE</t>
  </si>
  <si>
    <t>CIVARDI</t>
  </si>
  <si>
    <t>CRISTIANI SERGIO INQ.MARZO</t>
  </si>
  <si>
    <t>D'ACUTO ANTONIO</t>
  </si>
  <si>
    <t>DEL PRETE FRANCESCO</t>
  </si>
  <si>
    <t>FERRARI</t>
  </si>
  <si>
    <t>GALLI DONATELLA</t>
  </si>
  <si>
    <t>MAGLIONA CATERINA</t>
  </si>
  <si>
    <t>MARCONI ANNA</t>
  </si>
  <si>
    <t>MASCHERPA / FIORINO - INQ.PROVELLI</t>
  </si>
  <si>
    <t>MORISETTI</t>
  </si>
  <si>
    <t>NARATONE SAN PIETRO</t>
  </si>
  <si>
    <t>PAINELLI/CAPSONI</t>
  </si>
  <si>
    <t>PALADINI</t>
  </si>
  <si>
    <t>PANIGAZZI / LODOLA</t>
  </si>
  <si>
    <t>PISOTTI</t>
  </si>
  <si>
    <t>RIBONI</t>
  </si>
  <si>
    <t>ROSSANIGO INQ. GUTIERREZ</t>
  </si>
  <si>
    <t>ROVEDA / DE SANTOLO</t>
  </si>
  <si>
    <t>SACCHI</t>
  </si>
  <si>
    <t>SALERNO</t>
  </si>
  <si>
    <t>SESTITO</t>
  </si>
  <si>
    <t>SPAIRANI</t>
  </si>
  <si>
    <t>SUPER MARKET</t>
  </si>
  <si>
    <t>TOGNOLI</t>
  </si>
  <si>
    <t>URBANI TERESIO</t>
  </si>
  <si>
    <t>VERRI</t>
  </si>
  <si>
    <t>WANG JUNYI</t>
  </si>
  <si>
    <t>ZABORRA - INQ. PSIUK</t>
  </si>
  <si>
    <t>ZOCCALI FABIO</t>
  </si>
  <si>
    <t>TOTALE</t>
  </si>
  <si>
    <t>-.676,60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</si>
</sst>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.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111111"/>
      <name val="Arial"/>
      <family val="2"/>
    </font>
    <font>
      <sz val="10"/>
      <color rgb="FFFFFFFF"/>
      <name val="Inherit"/>
    </font>
    <font>
      <sz val="10"/>
      <color rgb="FF111111"/>
      <name val="Inherit"/>
    </font>
    <font>
      <b/>
      <sz val="10"/>
      <color rgb="FF111111"/>
      <name val="Inherit"/>
    </font>
    <font>
      <b/>
      <sz val="11"/>
      <color rgb="FF111111"/>
      <name val="Inherit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213E"/>
        <bgColor indexed="64"/>
      </patternFill>
    </fill>
    <fill>
      <patternFill patternType="solid">
        <fgColor rgb="FFEAEAE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applyAlignment="1"/>
    <xf numFmtId="43" fontId="0" fillId="0" borderId="0" xfId="1" applyFont="1" applyAlignment="1"/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0" fontId="0" fillId="3" borderId="0" xfId="0" applyFill="1"/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right" vertical="center" wrapText="1"/>
    </xf>
    <xf numFmtId="0" fontId="10" fillId="3" borderId="0" xfId="0" applyFont="1" applyFill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right" vertical="center" wrapText="1"/>
    </xf>
    <xf numFmtId="0" fontId="10" fillId="5" borderId="0" xfId="0" applyFont="1" applyFill="1" applyAlignment="1">
      <alignment horizontal="right" vertical="center" wrapText="1"/>
    </xf>
    <xf numFmtId="4" fontId="9" fillId="3" borderId="0" xfId="0" applyNumberFormat="1" applyFont="1" applyFill="1" applyAlignment="1">
      <alignment horizontal="right" vertical="center" wrapText="1"/>
    </xf>
    <xf numFmtId="4" fontId="10" fillId="3" borderId="0" xfId="0" applyNumberFormat="1" applyFont="1" applyFill="1" applyAlignment="1">
      <alignment horizontal="right" vertical="center" wrapText="1"/>
    </xf>
    <xf numFmtId="4" fontId="9" fillId="5" borderId="0" xfId="0" applyNumberFormat="1" applyFont="1" applyFill="1" applyAlignment="1">
      <alignment horizontal="right" vertical="center" wrapText="1"/>
    </xf>
    <xf numFmtId="4" fontId="10" fillId="5" borderId="0" xfId="0" applyNumberFormat="1" applyFont="1" applyFill="1" applyAlignment="1">
      <alignment horizontal="right" vertical="center" wrapText="1"/>
    </xf>
    <xf numFmtId="0" fontId="11" fillId="5" borderId="0" xfId="0" applyFont="1" applyFill="1" applyAlignment="1">
      <alignment horizontal="left" vertical="center" wrapText="1"/>
    </xf>
    <xf numFmtId="0" fontId="11" fillId="5" borderId="0" xfId="0" applyFont="1" applyFill="1" applyAlignment="1">
      <alignment horizontal="right" vertical="center" wrapText="1"/>
    </xf>
    <xf numFmtId="4" fontId="11" fillId="5" borderId="0" xfId="0" applyNumberFormat="1" applyFont="1" applyFill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left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K17"/>
  <sheetViews>
    <sheetView workbookViewId="0">
      <selection activeCell="I18" sqref="I18"/>
    </sheetView>
  </sheetViews>
  <sheetFormatPr defaultRowHeight="15"/>
  <cols>
    <col min="7" max="7" width="23.42578125" customWidth="1"/>
    <col min="9" max="9" width="9.5703125" bestFit="1" customWidth="1"/>
    <col min="10" max="10" width="16.5703125" customWidth="1"/>
  </cols>
  <sheetData>
    <row r="2" spans="1:11">
      <c r="A2" s="11" t="s">
        <v>21</v>
      </c>
      <c r="B2" s="11"/>
      <c r="C2" s="11"/>
      <c r="D2" s="11"/>
      <c r="E2" s="11"/>
      <c r="F2" s="11"/>
      <c r="G2" s="11"/>
      <c r="I2" s="12"/>
      <c r="J2" s="12"/>
      <c r="K2" s="12"/>
    </row>
    <row r="3" spans="1:11">
      <c r="A3" s="11" t="s">
        <v>19</v>
      </c>
      <c r="B3" s="11"/>
      <c r="C3" s="11"/>
      <c r="D3" s="11"/>
      <c r="E3" s="11"/>
      <c r="F3" s="11"/>
      <c r="G3" s="11"/>
      <c r="I3" s="12" t="s">
        <v>22</v>
      </c>
      <c r="J3" s="12"/>
      <c r="K3" s="1"/>
    </row>
    <row r="4" spans="1:11">
      <c r="A4" s="11" t="s">
        <v>20</v>
      </c>
      <c r="B4" s="11"/>
      <c r="C4" s="11"/>
      <c r="D4" s="11"/>
      <c r="E4" s="11"/>
      <c r="F4" s="11"/>
      <c r="G4" s="11"/>
      <c r="I4" s="12" t="s">
        <v>23</v>
      </c>
      <c r="J4" s="12"/>
      <c r="K4" s="1"/>
    </row>
    <row r="5" spans="1:11" ht="49.5" customHeight="1">
      <c r="A5" s="13" t="s">
        <v>0</v>
      </c>
      <c r="B5" s="13"/>
      <c r="C5" s="13"/>
      <c r="D5" s="13"/>
      <c r="E5" s="13"/>
      <c r="F5" s="13"/>
      <c r="G5" s="13"/>
      <c r="I5" s="14" t="s">
        <v>24</v>
      </c>
      <c r="J5" s="14"/>
    </row>
    <row r="6" spans="1:11">
      <c r="A6" s="11" t="s">
        <v>1</v>
      </c>
      <c r="B6" s="11"/>
      <c r="C6" s="11"/>
      <c r="D6" s="11"/>
      <c r="E6" s="11"/>
      <c r="F6" s="11"/>
      <c r="G6" s="11"/>
      <c r="I6" s="14" t="s">
        <v>25</v>
      </c>
      <c r="J6" s="14"/>
    </row>
    <row r="7" spans="1:11">
      <c r="A7" s="11" t="s">
        <v>2</v>
      </c>
      <c r="B7" s="11"/>
      <c r="C7" s="11"/>
      <c r="D7" s="11"/>
      <c r="E7" s="11"/>
      <c r="F7" s="11"/>
      <c r="G7" s="11"/>
      <c r="I7" s="12">
        <v>4</v>
      </c>
      <c r="J7" s="12"/>
    </row>
    <row r="8" spans="1:11">
      <c r="A8" s="11" t="s">
        <v>3</v>
      </c>
      <c r="B8" s="11"/>
      <c r="C8" s="11"/>
      <c r="D8" s="11"/>
      <c r="E8" s="11"/>
      <c r="F8" s="11"/>
      <c r="G8" s="11"/>
      <c r="I8" s="12">
        <v>0</v>
      </c>
      <c r="J8" s="12"/>
    </row>
    <row r="9" spans="1:11" ht="34.5" customHeight="1">
      <c r="A9" s="11" t="s">
        <v>4</v>
      </c>
      <c r="B9" s="11"/>
      <c r="C9" s="11"/>
      <c r="D9" s="11"/>
      <c r="E9" s="11"/>
      <c r="F9" s="11"/>
      <c r="G9" s="11"/>
      <c r="I9" s="12" t="s">
        <v>26</v>
      </c>
      <c r="J9" s="12"/>
    </row>
    <row r="10" spans="1:11" ht="33" customHeight="1">
      <c r="A10" s="11" t="s">
        <v>5</v>
      </c>
      <c r="B10" s="11"/>
      <c r="C10" s="11"/>
      <c r="D10" s="11"/>
      <c r="E10" s="11"/>
      <c r="F10" s="11"/>
      <c r="G10" s="11"/>
      <c r="I10" s="12" t="s">
        <v>27</v>
      </c>
      <c r="J10" s="12"/>
    </row>
    <row r="11" spans="1:11">
      <c r="A11" s="11" t="s">
        <v>6</v>
      </c>
      <c r="B11" s="11"/>
      <c r="C11" s="11"/>
      <c r="D11" s="11"/>
      <c r="E11" s="11"/>
      <c r="F11" s="11"/>
      <c r="G11" s="11"/>
      <c r="I11" s="12" t="s">
        <v>28</v>
      </c>
      <c r="J11" s="12"/>
    </row>
    <row r="12" spans="1:11" ht="35.25" customHeight="1">
      <c r="A12" s="11" t="s">
        <v>7</v>
      </c>
      <c r="B12" s="11"/>
      <c r="C12" s="11"/>
      <c r="D12" s="11"/>
      <c r="E12" s="11"/>
      <c r="F12" s="11"/>
      <c r="G12" s="11"/>
      <c r="H12" t="s">
        <v>18</v>
      </c>
      <c r="I12" s="14" t="s">
        <v>29</v>
      </c>
      <c r="J12" s="14"/>
    </row>
    <row r="13" spans="1:11" ht="18">
      <c r="A13" s="11" t="s">
        <v>8</v>
      </c>
      <c r="B13" s="11"/>
      <c r="C13" s="11"/>
      <c r="D13" s="11"/>
      <c r="E13" s="11"/>
      <c r="F13" s="11"/>
      <c r="G13" s="11"/>
      <c r="H13" t="s">
        <v>17</v>
      </c>
      <c r="I13" s="6">
        <v>1892</v>
      </c>
      <c r="J13" t="s">
        <v>31</v>
      </c>
    </row>
    <row r="14" spans="1:11" ht="18">
      <c r="A14" s="11" t="s">
        <v>9</v>
      </c>
      <c r="B14" s="11"/>
      <c r="C14" s="11"/>
      <c r="D14" s="11"/>
      <c r="E14" s="11"/>
      <c r="F14" s="11"/>
      <c r="G14" s="11"/>
      <c r="H14" t="s">
        <v>16</v>
      </c>
      <c r="I14" s="6">
        <v>1376.16</v>
      </c>
      <c r="J14" t="s">
        <v>31</v>
      </c>
    </row>
    <row r="15" spans="1:11" ht="18">
      <c r="A15" s="11" t="s">
        <v>10</v>
      </c>
      <c r="B15" s="11"/>
      <c r="C15" s="11"/>
      <c r="D15" s="11"/>
      <c r="E15" s="11"/>
      <c r="F15" s="11"/>
      <c r="G15" s="11"/>
      <c r="H15" t="s">
        <v>15</v>
      </c>
      <c r="I15" s="5">
        <v>90265</v>
      </c>
      <c r="J15" t="s">
        <v>30</v>
      </c>
    </row>
    <row r="16" spans="1:11" ht="18">
      <c r="A16" s="11" t="s">
        <v>11</v>
      </c>
      <c r="B16" s="11"/>
      <c r="C16" s="11"/>
      <c r="D16" s="11"/>
      <c r="E16" s="11"/>
      <c r="F16" s="11"/>
      <c r="G16" s="11"/>
      <c r="H16" t="s">
        <v>14</v>
      </c>
      <c r="I16" s="5">
        <v>336934</v>
      </c>
      <c r="J16" t="s">
        <v>30</v>
      </c>
    </row>
    <row r="17" spans="1:10" ht="18">
      <c r="A17" s="11" t="s">
        <v>12</v>
      </c>
      <c r="B17" s="11"/>
      <c r="C17" s="11"/>
      <c r="D17" s="11"/>
      <c r="E17" s="11"/>
      <c r="F17" s="11"/>
      <c r="G17" s="11"/>
      <c r="H17" t="s">
        <v>13</v>
      </c>
      <c r="I17" s="5">
        <v>53909</v>
      </c>
      <c r="J17" t="s">
        <v>30</v>
      </c>
    </row>
  </sheetData>
  <mergeCells count="27">
    <mergeCell ref="A5:G5"/>
    <mergeCell ref="A6:G6"/>
    <mergeCell ref="I11:J11"/>
    <mergeCell ref="I12:J12"/>
    <mergeCell ref="I5:J5"/>
    <mergeCell ref="I6:J6"/>
    <mergeCell ref="I7:J7"/>
    <mergeCell ref="I8:J8"/>
    <mergeCell ref="I9:J9"/>
    <mergeCell ref="I10:J10"/>
    <mergeCell ref="A7:G7"/>
    <mergeCell ref="A8:G8"/>
    <mergeCell ref="A9:G9"/>
    <mergeCell ref="I2:K2"/>
    <mergeCell ref="A3:G3"/>
    <mergeCell ref="A4:G4"/>
    <mergeCell ref="I3:J3"/>
    <mergeCell ref="I4:J4"/>
    <mergeCell ref="A2:G2"/>
    <mergeCell ref="A16:G16"/>
    <mergeCell ref="A17:G17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F11" sqref="F11"/>
    </sheetView>
  </sheetViews>
  <sheetFormatPr defaultRowHeight="15"/>
  <cols>
    <col min="4" max="4" width="32.5703125" customWidth="1"/>
  </cols>
  <sheetData>
    <row r="1" spans="1:7">
      <c r="A1" s="12" t="s">
        <v>47</v>
      </c>
      <c r="B1" s="12"/>
      <c r="C1" s="12"/>
      <c r="D1" s="12"/>
      <c r="E1" s="12"/>
      <c r="F1" s="12"/>
      <c r="G1" s="12"/>
    </row>
    <row r="2" spans="1:7" ht="18">
      <c r="A2" s="15" t="s">
        <v>32</v>
      </c>
      <c r="B2" s="15"/>
      <c r="C2" s="15"/>
      <c r="D2" s="15"/>
      <c r="E2" t="s">
        <v>37</v>
      </c>
      <c r="F2">
        <v>0</v>
      </c>
      <c r="G2" t="s">
        <v>42</v>
      </c>
    </row>
    <row r="3" spans="1:7" ht="18">
      <c r="A3" s="15" t="s">
        <v>33</v>
      </c>
      <c r="B3" s="15"/>
      <c r="C3" s="15"/>
      <c r="D3" s="15"/>
      <c r="E3" t="s">
        <v>38</v>
      </c>
      <c r="F3">
        <v>36124</v>
      </c>
      <c r="G3" t="s">
        <v>42</v>
      </c>
    </row>
    <row r="4" spans="1:7" ht="18">
      <c r="A4" s="15" t="s">
        <v>34</v>
      </c>
      <c r="B4" s="15"/>
      <c r="C4" s="15"/>
      <c r="D4" s="15"/>
      <c r="E4" t="s">
        <v>39</v>
      </c>
      <c r="F4">
        <f>F3-F5</f>
        <v>30345</v>
      </c>
      <c r="G4" t="s">
        <v>42</v>
      </c>
    </row>
    <row r="5" spans="1:7" ht="18">
      <c r="A5" s="15" t="s">
        <v>35</v>
      </c>
      <c r="B5" s="15"/>
      <c r="C5" s="15"/>
      <c r="D5" s="15"/>
      <c r="E5" t="s">
        <v>40</v>
      </c>
      <c r="F5">
        <v>5779</v>
      </c>
      <c r="G5" t="s">
        <v>42</v>
      </c>
    </row>
    <row r="6" spans="1:7" ht="18">
      <c r="A6" s="15" t="s">
        <v>36</v>
      </c>
      <c r="B6" s="15"/>
      <c r="C6" s="15"/>
      <c r="D6" s="15"/>
      <c r="E6" t="s">
        <v>41</v>
      </c>
      <c r="F6">
        <v>0.92510000000000003</v>
      </c>
      <c r="G6" t="s">
        <v>43</v>
      </c>
    </row>
    <row r="8" spans="1:7">
      <c r="A8" s="12" t="s">
        <v>44</v>
      </c>
      <c r="B8" s="12"/>
      <c r="C8" s="12"/>
      <c r="D8" s="12"/>
      <c r="E8" s="12"/>
      <c r="F8" s="12"/>
      <c r="G8" s="12"/>
    </row>
    <row r="9" spans="1:7" ht="18">
      <c r="A9" s="15" t="s">
        <v>45</v>
      </c>
      <c r="B9" s="15"/>
      <c r="C9" s="15"/>
      <c r="D9" s="15"/>
      <c r="E9" t="s">
        <v>100</v>
      </c>
      <c r="F9">
        <v>0</v>
      </c>
      <c r="G9" t="s">
        <v>30</v>
      </c>
    </row>
    <row r="10" spans="1:7" ht="18">
      <c r="A10" s="15" t="s">
        <v>46</v>
      </c>
      <c r="B10" s="15"/>
      <c r="C10" s="15"/>
      <c r="D10" s="15"/>
      <c r="E10" t="s">
        <v>101</v>
      </c>
      <c r="F10">
        <v>4465</v>
      </c>
      <c r="G10" t="s">
        <v>30</v>
      </c>
    </row>
    <row r="11" spans="1:7" ht="18">
      <c r="A11" s="15" t="s">
        <v>34</v>
      </c>
      <c r="B11" s="15"/>
      <c r="C11" s="15"/>
      <c r="D11" s="15"/>
      <c r="E11" t="s">
        <v>102</v>
      </c>
      <c r="F11">
        <f>F10-F12</f>
        <v>3751</v>
      </c>
      <c r="G11" t="s">
        <v>30</v>
      </c>
    </row>
    <row r="12" spans="1:7" ht="18">
      <c r="A12" s="15" t="s">
        <v>35</v>
      </c>
      <c r="B12" s="15"/>
      <c r="C12" s="15"/>
      <c r="D12" s="15"/>
      <c r="E12" t="s">
        <v>103</v>
      </c>
      <c r="F12">
        <v>714</v>
      </c>
      <c r="G12" t="s">
        <v>30</v>
      </c>
    </row>
    <row r="13" spans="1:7" ht="18">
      <c r="A13" s="15" t="s">
        <v>36</v>
      </c>
      <c r="B13" s="15"/>
      <c r="C13" s="15"/>
      <c r="D13" s="15"/>
      <c r="E13" t="s">
        <v>104</v>
      </c>
      <c r="F13">
        <v>0.30459999999999998</v>
      </c>
      <c r="G13" t="s">
        <v>48</v>
      </c>
    </row>
  </sheetData>
  <mergeCells count="12">
    <mergeCell ref="A1:G1"/>
    <mergeCell ref="A13:D13"/>
    <mergeCell ref="A2:D2"/>
    <mergeCell ref="A3:D3"/>
    <mergeCell ref="A4:D4"/>
    <mergeCell ref="A5:D5"/>
    <mergeCell ref="A6:D6"/>
    <mergeCell ref="A8:G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6"/>
  <sheetViews>
    <sheetView workbookViewId="0">
      <selection activeCell="F5" sqref="F5"/>
    </sheetView>
  </sheetViews>
  <sheetFormatPr defaultRowHeight="15"/>
  <cols>
    <col min="4" max="4" width="16.140625" customWidth="1"/>
  </cols>
  <sheetData>
    <row r="2" spans="1:7">
      <c r="A2" s="12" t="s">
        <v>49</v>
      </c>
      <c r="B2" s="12"/>
      <c r="C2" s="12"/>
      <c r="D2" s="12"/>
      <c r="E2" s="12"/>
      <c r="F2" s="12"/>
      <c r="G2" s="12"/>
    </row>
    <row r="3" spans="1:7" ht="18">
      <c r="A3" s="15" t="s">
        <v>50</v>
      </c>
      <c r="B3" s="15"/>
      <c r="C3" s="15"/>
      <c r="D3" s="15"/>
      <c r="E3" t="s">
        <v>54</v>
      </c>
      <c r="F3">
        <v>0</v>
      </c>
      <c r="G3" t="s">
        <v>30</v>
      </c>
    </row>
    <row r="4" spans="1:7" ht="18">
      <c r="A4" s="15" t="s">
        <v>51</v>
      </c>
      <c r="B4" s="15"/>
      <c r="C4" s="15"/>
      <c r="D4" s="15"/>
      <c r="E4" t="s">
        <v>55</v>
      </c>
      <c r="F4">
        <v>336934</v>
      </c>
      <c r="G4" t="s">
        <v>30</v>
      </c>
    </row>
    <row r="5" spans="1:7" ht="57.75" customHeight="1">
      <c r="A5" s="16" t="s">
        <v>52</v>
      </c>
      <c r="B5" s="16"/>
      <c r="C5" s="16"/>
      <c r="D5" s="16"/>
      <c r="E5" t="s">
        <v>56</v>
      </c>
      <c r="F5">
        <f>F4-F6</f>
        <v>283025</v>
      </c>
      <c r="G5" t="s">
        <v>30</v>
      </c>
    </row>
    <row r="6" spans="1:7" ht="57" customHeight="1">
      <c r="A6" s="16" t="s">
        <v>53</v>
      </c>
      <c r="B6" s="16"/>
      <c r="C6" s="16"/>
      <c r="D6" s="16"/>
      <c r="E6" t="s">
        <v>57</v>
      </c>
      <c r="F6">
        <v>53909</v>
      </c>
      <c r="G6" t="s">
        <v>30</v>
      </c>
    </row>
  </sheetData>
  <mergeCells count="5">
    <mergeCell ref="A2:G2"/>
    <mergeCell ref="A3:D3"/>
    <mergeCell ref="A4:D4"/>
    <mergeCell ref="A5:D5"/>
    <mergeCell ref="A6:D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4"/>
  <sheetViews>
    <sheetView topLeftCell="A49" workbookViewId="0">
      <selection activeCell="F15" sqref="F15"/>
    </sheetView>
  </sheetViews>
  <sheetFormatPr defaultRowHeight="15"/>
  <cols>
    <col min="4" max="4" width="23.42578125" customWidth="1"/>
    <col min="5" max="5" width="16.140625" customWidth="1"/>
  </cols>
  <sheetData>
    <row r="1" spans="1:7">
      <c r="A1" s="12" t="s">
        <v>58</v>
      </c>
      <c r="B1" s="12"/>
      <c r="C1" s="12"/>
      <c r="D1" s="12"/>
      <c r="E1" s="12"/>
      <c r="F1" s="12"/>
      <c r="G1" s="12"/>
    </row>
    <row r="2" spans="1:7">
      <c r="A2" s="12" t="s">
        <v>159</v>
      </c>
      <c r="B2" s="12"/>
      <c r="C2" s="12"/>
      <c r="D2" s="12"/>
      <c r="E2" s="12"/>
      <c r="F2" s="12"/>
      <c r="G2" s="12"/>
    </row>
    <row r="3" spans="1:7" ht="18">
      <c r="A3" s="15" t="s">
        <v>59</v>
      </c>
      <c r="B3" s="15"/>
      <c r="C3" s="15"/>
      <c r="D3" s="15"/>
      <c r="E3" t="s">
        <v>62</v>
      </c>
      <c r="F3">
        <v>0</v>
      </c>
      <c r="G3" t="s">
        <v>87</v>
      </c>
    </row>
    <row r="4" spans="1:7" ht="18">
      <c r="A4" s="15" t="s">
        <v>61</v>
      </c>
      <c r="B4" s="15"/>
      <c r="C4" s="15"/>
      <c r="D4" s="15"/>
      <c r="E4" t="s">
        <v>63</v>
      </c>
      <c r="F4">
        <v>608</v>
      </c>
      <c r="G4" t="s">
        <v>87</v>
      </c>
    </row>
    <row r="5" spans="1:7" ht="18">
      <c r="A5" s="15" t="s">
        <v>60</v>
      </c>
      <c r="B5" s="15"/>
      <c r="C5" s="15"/>
      <c r="D5" s="15"/>
      <c r="E5" t="s">
        <v>71</v>
      </c>
      <c r="F5">
        <v>0</v>
      </c>
      <c r="G5" t="s">
        <v>87</v>
      </c>
    </row>
    <row r="6" spans="1:7" ht="18">
      <c r="A6" s="15" t="s">
        <v>64</v>
      </c>
      <c r="B6" s="15"/>
      <c r="C6" s="15"/>
      <c r="D6" s="15"/>
      <c r="E6" t="s">
        <v>72</v>
      </c>
      <c r="F6">
        <v>2016</v>
      </c>
      <c r="G6" t="s">
        <v>87</v>
      </c>
    </row>
    <row r="7" spans="1:7" ht="18">
      <c r="A7" s="15" t="s">
        <v>65</v>
      </c>
      <c r="B7" s="15"/>
      <c r="C7" s="15"/>
      <c r="D7" s="15"/>
      <c r="E7" t="s">
        <v>73</v>
      </c>
      <c r="F7">
        <v>0</v>
      </c>
      <c r="G7" t="s">
        <v>87</v>
      </c>
    </row>
    <row r="8" spans="1:7" ht="18">
      <c r="A8" s="15" t="s">
        <v>66</v>
      </c>
      <c r="B8" s="15"/>
      <c r="C8" s="15"/>
      <c r="D8" s="15"/>
      <c r="E8" t="s">
        <v>74</v>
      </c>
      <c r="F8">
        <v>1260</v>
      </c>
      <c r="G8" t="s">
        <v>87</v>
      </c>
    </row>
    <row r="9" spans="1:7" ht="18">
      <c r="A9" s="15" t="s">
        <v>67</v>
      </c>
      <c r="B9" s="15"/>
      <c r="C9" s="15"/>
      <c r="D9" s="15"/>
      <c r="E9" t="s">
        <v>75</v>
      </c>
      <c r="F9">
        <v>0</v>
      </c>
      <c r="G9" t="s">
        <v>87</v>
      </c>
    </row>
    <row r="10" spans="1:7" ht="18">
      <c r="A10" s="15" t="s">
        <v>68</v>
      </c>
      <c r="B10" s="15"/>
      <c r="C10" s="15"/>
      <c r="D10" s="15"/>
      <c r="E10" t="s">
        <v>76</v>
      </c>
      <c r="F10">
        <v>1512</v>
      </c>
      <c r="G10" t="s">
        <v>87</v>
      </c>
    </row>
    <row r="11" spans="1:7" ht="18">
      <c r="A11" s="15" t="s">
        <v>69</v>
      </c>
      <c r="B11" s="15"/>
      <c r="C11" s="15"/>
      <c r="D11" s="15"/>
      <c r="E11" t="s">
        <v>77</v>
      </c>
      <c r="F11">
        <v>0</v>
      </c>
      <c r="G11" t="s">
        <v>87</v>
      </c>
    </row>
    <row r="12" spans="1:7" ht="18">
      <c r="A12" s="15" t="s">
        <v>70</v>
      </c>
      <c r="B12" s="15"/>
      <c r="C12" s="15"/>
      <c r="D12" s="15"/>
      <c r="E12" t="s">
        <v>78</v>
      </c>
      <c r="F12">
        <v>1412</v>
      </c>
      <c r="G12" t="s">
        <v>87</v>
      </c>
    </row>
    <row r="13" spans="1:7" ht="18">
      <c r="A13" s="15" t="s">
        <v>79</v>
      </c>
      <c r="B13" s="15"/>
      <c r="C13" s="15"/>
      <c r="D13" s="15"/>
      <c r="E13" t="s">
        <v>81</v>
      </c>
      <c r="F13">
        <v>0</v>
      </c>
      <c r="G13" t="s">
        <v>42</v>
      </c>
    </row>
    <row r="14" spans="1:7" ht="18">
      <c r="A14" s="15" t="s">
        <v>80</v>
      </c>
      <c r="B14" s="15"/>
      <c r="C14" s="15"/>
      <c r="D14" s="15"/>
      <c r="E14" t="s">
        <v>82</v>
      </c>
      <c r="F14">
        <v>36</v>
      </c>
      <c r="G14" t="s">
        <v>42</v>
      </c>
    </row>
    <row r="15" spans="1:7" ht="29.25" customHeight="1">
      <c r="A15" s="16" t="s">
        <v>83</v>
      </c>
      <c r="B15" s="16"/>
      <c r="C15" s="16"/>
      <c r="D15" s="16"/>
      <c r="E15" t="s">
        <v>85</v>
      </c>
      <c r="F15">
        <v>24.018000000000001</v>
      </c>
    </row>
    <row r="16" spans="1:7" ht="24.75" customHeight="1">
      <c r="A16" s="16" t="s">
        <v>84</v>
      </c>
      <c r="B16" s="16"/>
      <c r="C16" s="16"/>
      <c r="D16" s="16"/>
      <c r="E16" t="s">
        <v>86</v>
      </c>
      <c r="F16">
        <v>25.765999999999998</v>
      </c>
    </row>
    <row r="18" spans="1:7">
      <c r="A18" s="12" t="s">
        <v>160</v>
      </c>
      <c r="B18" s="12"/>
      <c r="C18" s="12"/>
      <c r="D18" s="12"/>
      <c r="E18" s="12"/>
      <c r="F18" s="12"/>
      <c r="G18" s="12"/>
    </row>
    <row r="19" spans="1:7" ht="18">
      <c r="A19" s="15" t="s">
        <v>59</v>
      </c>
      <c r="B19" s="15"/>
      <c r="C19" s="15"/>
      <c r="D19" s="15"/>
      <c r="E19" t="s">
        <v>192</v>
      </c>
      <c r="F19">
        <v>0</v>
      </c>
      <c r="G19" t="s">
        <v>87</v>
      </c>
    </row>
    <row r="20" spans="1:7" ht="18">
      <c r="A20" s="15" t="s">
        <v>61</v>
      </c>
      <c r="B20" s="15"/>
      <c r="C20" s="15"/>
      <c r="D20" s="15"/>
      <c r="E20" t="s">
        <v>193</v>
      </c>
      <c r="F20">
        <v>526</v>
      </c>
      <c r="G20" t="s">
        <v>87</v>
      </c>
    </row>
    <row r="21" spans="1:7" ht="18">
      <c r="A21" s="15" t="s">
        <v>60</v>
      </c>
      <c r="B21" s="15"/>
      <c r="C21" s="15"/>
      <c r="D21" s="15"/>
      <c r="E21" t="s">
        <v>194</v>
      </c>
      <c r="F21">
        <v>0</v>
      </c>
      <c r="G21" t="s">
        <v>87</v>
      </c>
    </row>
    <row r="22" spans="1:7" ht="18">
      <c r="A22" s="15" t="s">
        <v>64</v>
      </c>
      <c r="B22" s="15"/>
      <c r="C22" s="15"/>
      <c r="D22" s="15"/>
      <c r="E22" t="s">
        <v>195</v>
      </c>
      <c r="F22">
        <v>2248</v>
      </c>
      <c r="G22" t="s">
        <v>87</v>
      </c>
    </row>
    <row r="23" spans="1:7" ht="18">
      <c r="A23" s="15" t="s">
        <v>65</v>
      </c>
      <c r="B23" s="15"/>
      <c r="C23" s="15"/>
      <c r="D23" s="15"/>
      <c r="E23" t="s">
        <v>196</v>
      </c>
      <c r="F23">
        <v>0</v>
      </c>
      <c r="G23" t="s">
        <v>87</v>
      </c>
    </row>
    <row r="24" spans="1:7" ht="18">
      <c r="A24" s="15" t="s">
        <v>66</v>
      </c>
      <c r="B24" s="15"/>
      <c r="C24" s="15"/>
      <c r="D24" s="15"/>
      <c r="E24" t="s">
        <v>197</v>
      </c>
      <c r="F24">
        <v>1405</v>
      </c>
      <c r="G24" t="s">
        <v>87</v>
      </c>
    </row>
    <row r="25" spans="1:7" ht="18">
      <c r="A25" s="15" t="s">
        <v>67</v>
      </c>
      <c r="B25" s="15"/>
      <c r="C25" s="15"/>
      <c r="D25" s="15"/>
      <c r="E25" t="s">
        <v>198</v>
      </c>
      <c r="F25">
        <v>0</v>
      </c>
      <c r="G25" t="s">
        <v>87</v>
      </c>
    </row>
    <row r="26" spans="1:7" ht="18">
      <c r="A26" s="15" t="s">
        <v>68</v>
      </c>
      <c r="B26" s="15"/>
      <c r="C26" s="15"/>
      <c r="D26" s="15"/>
      <c r="E26" t="s">
        <v>199</v>
      </c>
      <c r="F26">
        <v>1706</v>
      </c>
      <c r="G26" t="s">
        <v>87</v>
      </c>
    </row>
    <row r="27" spans="1:7" ht="18">
      <c r="A27" s="15" t="s">
        <v>69</v>
      </c>
      <c r="B27" s="15"/>
      <c r="C27" s="15"/>
      <c r="D27" s="15"/>
      <c r="E27" t="s">
        <v>200</v>
      </c>
      <c r="F27">
        <v>0</v>
      </c>
      <c r="G27" t="s">
        <v>87</v>
      </c>
    </row>
    <row r="28" spans="1:7" ht="18">
      <c r="A28" s="15" t="s">
        <v>70</v>
      </c>
      <c r="B28" s="15"/>
      <c r="C28" s="15"/>
      <c r="D28" s="15"/>
      <c r="E28" t="s">
        <v>201</v>
      </c>
      <c r="F28">
        <v>1606</v>
      </c>
      <c r="G28" t="s">
        <v>87</v>
      </c>
    </row>
    <row r="29" spans="1:7" ht="18">
      <c r="A29" s="15" t="s">
        <v>79</v>
      </c>
      <c r="B29" s="15"/>
      <c r="C29" s="15"/>
      <c r="D29" s="15"/>
      <c r="E29" t="s">
        <v>202</v>
      </c>
      <c r="F29">
        <v>0</v>
      </c>
      <c r="G29" t="s">
        <v>42</v>
      </c>
    </row>
    <row r="30" spans="1:7" ht="18">
      <c r="A30" s="15" t="s">
        <v>80</v>
      </c>
      <c r="B30" s="15"/>
      <c r="C30" s="15"/>
      <c r="D30" s="15"/>
      <c r="E30" t="s">
        <v>203</v>
      </c>
      <c r="F30">
        <v>120</v>
      </c>
      <c r="G30" t="s">
        <v>42</v>
      </c>
    </row>
    <row r="31" spans="1:7" ht="33.75" customHeight="1">
      <c r="A31" s="16" t="s">
        <v>83</v>
      </c>
      <c r="B31" s="16"/>
      <c r="C31" s="16"/>
      <c r="D31" s="16"/>
      <c r="E31" t="s">
        <v>204</v>
      </c>
      <c r="F31">
        <v>220</v>
      </c>
    </row>
    <row r="32" spans="1:7" ht="18">
      <c r="A32" s="16" t="s">
        <v>84</v>
      </c>
      <c r="B32" s="16"/>
      <c r="C32" s="16"/>
      <c r="D32" s="16"/>
      <c r="E32" t="s">
        <v>205</v>
      </c>
    </row>
    <row r="34" spans="1:7">
      <c r="A34" s="12" t="s">
        <v>161</v>
      </c>
      <c r="B34" s="12"/>
      <c r="C34" s="12"/>
      <c r="D34" s="12"/>
      <c r="E34" s="12"/>
      <c r="F34" s="12"/>
      <c r="G34" s="12"/>
    </row>
    <row r="35" spans="1:7" ht="18">
      <c r="A35" s="15" t="s">
        <v>59</v>
      </c>
      <c r="B35" s="15"/>
      <c r="C35" s="15"/>
      <c r="D35" s="15"/>
      <c r="E35" t="s">
        <v>206</v>
      </c>
      <c r="F35">
        <v>0</v>
      </c>
      <c r="G35" t="s">
        <v>87</v>
      </c>
    </row>
    <row r="36" spans="1:7" ht="18">
      <c r="A36" s="15" t="s">
        <v>61</v>
      </c>
      <c r="B36" s="15"/>
      <c r="C36" s="15"/>
      <c r="D36" s="15"/>
      <c r="E36" t="s">
        <v>207</v>
      </c>
      <c r="F36">
        <v>608</v>
      </c>
      <c r="G36" t="s">
        <v>87</v>
      </c>
    </row>
    <row r="37" spans="1:7" ht="18">
      <c r="A37" s="15" t="s">
        <v>60</v>
      </c>
      <c r="B37" s="15"/>
      <c r="C37" s="15"/>
      <c r="D37" s="15"/>
      <c r="E37" t="s">
        <v>208</v>
      </c>
      <c r="F37">
        <v>0</v>
      </c>
      <c r="G37" t="s">
        <v>87</v>
      </c>
    </row>
    <row r="38" spans="1:7" ht="18">
      <c r="A38" s="15" t="s">
        <v>64</v>
      </c>
      <c r="B38" s="15"/>
      <c r="C38" s="15"/>
      <c r="D38" s="15"/>
      <c r="E38" t="s">
        <v>209</v>
      </c>
      <c r="F38">
        <v>2030</v>
      </c>
      <c r="G38" t="s">
        <v>87</v>
      </c>
    </row>
    <row r="39" spans="1:7" ht="18">
      <c r="A39" s="15" t="s">
        <v>65</v>
      </c>
      <c r="B39" s="15"/>
      <c r="C39" s="15"/>
      <c r="D39" s="15"/>
      <c r="E39" t="s">
        <v>210</v>
      </c>
      <c r="F39">
        <v>0</v>
      </c>
      <c r="G39" t="s">
        <v>87</v>
      </c>
    </row>
    <row r="40" spans="1:7" ht="18">
      <c r="A40" s="15" t="s">
        <v>66</v>
      </c>
      <c r="B40" s="15"/>
      <c r="C40" s="15"/>
      <c r="D40" s="15"/>
      <c r="E40" t="s">
        <v>211</v>
      </c>
      <c r="F40">
        <v>333</v>
      </c>
      <c r="G40" t="s">
        <v>87</v>
      </c>
    </row>
    <row r="41" spans="1:7" ht="18">
      <c r="A41" s="15" t="s">
        <v>67</v>
      </c>
      <c r="B41" s="15"/>
      <c r="C41" s="15"/>
      <c r="D41" s="15"/>
      <c r="E41" t="s">
        <v>212</v>
      </c>
      <c r="F41">
        <v>0</v>
      </c>
      <c r="G41" t="s">
        <v>87</v>
      </c>
    </row>
    <row r="42" spans="1:7" ht="18">
      <c r="A42" s="15" t="s">
        <v>68</v>
      </c>
      <c r="B42" s="15"/>
      <c r="C42" s="15"/>
      <c r="D42" s="15"/>
      <c r="E42" t="s">
        <v>213</v>
      </c>
      <c r="F42">
        <v>1923</v>
      </c>
      <c r="G42" t="s">
        <v>87</v>
      </c>
    </row>
    <row r="43" spans="1:7" ht="18">
      <c r="A43" s="15" t="s">
        <v>69</v>
      </c>
      <c r="B43" s="15"/>
      <c r="C43" s="15"/>
      <c r="D43" s="15"/>
      <c r="E43" t="s">
        <v>214</v>
      </c>
      <c r="F43">
        <v>0</v>
      </c>
      <c r="G43" t="s">
        <v>87</v>
      </c>
    </row>
    <row r="44" spans="1:7" ht="18">
      <c r="A44" s="15" t="s">
        <v>70</v>
      </c>
      <c r="B44" s="15"/>
      <c r="C44" s="15"/>
      <c r="D44" s="15"/>
      <c r="E44" t="s">
        <v>215</v>
      </c>
      <c r="F44">
        <v>1523</v>
      </c>
      <c r="G44" t="s">
        <v>87</v>
      </c>
    </row>
    <row r="45" spans="1:7" ht="18">
      <c r="A45" s="15" t="s">
        <v>79</v>
      </c>
      <c r="B45" s="15"/>
      <c r="C45" s="15"/>
      <c r="D45" s="15"/>
      <c r="E45" t="s">
        <v>216</v>
      </c>
      <c r="F45">
        <v>0</v>
      </c>
      <c r="G45" t="s">
        <v>42</v>
      </c>
    </row>
    <row r="46" spans="1:7" ht="18">
      <c r="A46" s="15" t="s">
        <v>80</v>
      </c>
      <c r="B46" s="15"/>
      <c r="C46" s="15"/>
      <c r="D46" s="15"/>
      <c r="E46" t="s">
        <v>217</v>
      </c>
      <c r="F46">
        <v>85</v>
      </c>
      <c r="G46" t="s">
        <v>42</v>
      </c>
    </row>
    <row r="47" spans="1:7" ht="30" customHeight="1">
      <c r="A47" s="16" t="s">
        <v>83</v>
      </c>
      <c r="B47" s="16"/>
      <c r="C47" s="16"/>
      <c r="D47" s="16"/>
      <c r="E47" t="s">
        <v>218</v>
      </c>
      <c r="F47">
        <v>280</v>
      </c>
    </row>
    <row r="48" spans="1:7" ht="18">
      <c r="A48" s="16" t="s">
        <v>84</v>
      </c>
      <c r="B48" s="16"/>
      <c r="C48" s="16"/>
      <c r="D48" s="16"/>
      <c r="E48" t="s">
        <v>219</v>
      </c>
    </row>
    <row r="50" spans="1:7">
      <c r="A50" s="12" t="s">
        <v>162</v>
      </c>
      <c r="B50" s="12"/>
      <c r="C50" s="12"/>
      <c r="D50" s="12"/>
      <c r="E50" s="12"/>
      <c r="F50" s="12"/>
      <c r="G50" s="12"/>
    </row>
    <row r="51" spans="1:7" ht="18">
      <c r="A51" s="15" t="s">
        <v>59</v>
      </c>
      <c r="B51" s="15"/>
      <c r="C51" s="15"/>
      <c r="D51" s="15"/>
      <c r="E51" t="s">
        <v>220</v>
      </c>
      <c r="F51">
        <v>0</v>
      </c>
      <c r="G51" t="s">
        <v>87</v>
      </c>
    </row>
    <row r="52" spans="1:7" ht="18">
      <c r="A52" s="15" t="s">
        <v>61</v>
      </c>
      <c r="B52" s="15"/>
      <c r="C52" s="15"/>
      <c r="D52" s="15"/>
      <c r="E52" t="s">
        <v>221</v>
      </c>
      <c r="F52">
        <v>496</v>
      </c>
      <c r="G52" t="s">
        <v>87</v>
      </c>
    </row>
    <row r="53" spans="1:7" ht="18">
      <c r="A53" s="15" t="s">
        <v>60</v>
      </c>
      <c r="B53" s="15"/>
      <c r="C53" s="15"/>
      <c r="D53" s="15"/>
      <c r="E53" t="s">
        <v>222</v>
      </c>
      <c r="F53">
        <v>0</v>
      </c>
      <c r="G53" t="s">
        <v>87</v>
      </c>
    </row>
    <row r="54" spans="1:7" ht="18">
      <c r="A54" s="15" t="s">
        <v>64</v>
      </c>
      <c r="B54" s="15"/>
      <c r="C54" s="15"/>
      <c r="D54" s="15"/>
      <c r="E54" t="s">
        <v>223</v>
      </c>
      <c r="F54">
        <v>1736</v>
      </c>
      <c r="G54" t="s">
        <v>87</v>
      </c>
    </row>
    <row r="55" spans="1:7" ht="18">
      <c r="A55" s="15" t="s">
        <v>65</v>
      </c>
      <c r="B55" s="15"/>
      <c r="C55" s="15"/>
      <c r="D55" s="15"/>
      <c r="E55" t="s">
        <v>224</v>
      </c>
      <c r="F55">
        <v>0</v>
      </c>
      <c r="G55" t="s">
        <v>87</v>
      </c>
    </row>
    <row r="56" spans="1:7" ht="18">
      <c r="A56" s="15" t="s">
        <v>66</v>
      </c>
      <c r="B56" s="15"/>
      <c r="C56" s="15"/>
      <c r="D56" s="15"/>
      <c r="E56" t="s">
        <v>225</v>
      </c>
      <c r="F56">
        <v>1016</v>
      </c>
      <c r="G56" t="s">
        <v>87</v>
      </c>
    </row>
    <row r="57" spans="1:7" ht="18">
      <c r="A57" s="15" t="s">
        <v>67</v>
      </c>
      <c r="B57" s="15"/>
      <c r="C57" s="15"/>
      <c r="D57" s="15"/>
      <c r="E57" t="s">
        <v>226</v>
      </c>
      <c r="F57">
        <v>0</v>
      </c>
      <c r="G57" t="s">
        <v>87</v>
      </c>
    </row>
    <row r="58" spans="1:7" ht="18">
      <c r="A58" s="15" t="s">
        <v>68</v>
      </c>
      <c r="B58" s="15"/>
      <c r="C58" s="15"/>
      <c r="D58" s="15"/>
      <c r="E58" t="s">
        <v>227</v>
      </c>
      <c r="F58">
        <v>1539</v>
      </c>
      <c r="G58" t="s">
        <v>87</v>
      </c>
    </row>
    <row r="59" spans="1:7" ht="18">
      <c r="A59" s="15" t="s">
        <v>69</v>
      </c>
      <c r="B59" s="15"/>
      <c r="C59" s="15"/>
      <c r="D59" s="15"/>
      <c r="E59" t="s">
        <v>228</v>
      </c>
      <c r="F59">
        <v>0</v>
      </c>
      <c r="G59" t="s">
        <v>87</v>
      </c>
    </row>
    <row r="60" spans="1:7" ht="18">
      <c r="A60" s="15" t="s">
        <v>70</v>
      </c>
      <c r="B60" s="15"/>
      <c r="C60" s="15"/>
      <c r="D60" s="15"/>
      <c r="E60" t="s">
        <v>229</v>
      </c>
      <c r="F60">
        <v>1239</v>
      </c>
      <c r="G60" t="s">
        <v>87</v>
      </c>
    </row>
    <row r="61" spans="1:7" ht="18">
      <c r="A61" s="15" t="s">
        <v>79</v>
      </c>
      <c r="B61" s="15"/>
      <c r="C61" s="15"/>
      <c r="D61" s="15"/>
      <c r="E61" t="s">
        <v>230</v>
      </c>
      <c r="F61">
        <v>0</v>
      </c>
      <c r="G61" t="s">
        <v>42</v>
      </c>
    </row>
    <row r="62" spans="1:7" ht="18">
      <c r="A62" s="15" t="s">
        <v>80</v>
      </c>
      <c r="B62" s="15"/>
      <c r="C62" s="15"/>
      <c r="D62" s="15"/>
      <c r="E62" t="s">
        <v>231</v>
      </c>
      <c r="F62">
        <v>105</v>
      </c>
      <c r="G62" t="s">
        <v>42</v>
      </c>
    </row>
    <row r="63" spans="1:7" ht="29.25" customHeight="1">
      <c r="A63" s="16" t="s">
        <v>83</v>
      </c>
      <c r="B63" s="16"/>
      <c r="C63" s="16"/>
      <c r="D63" s="16"/>
      <c r="E63" t="s">
        <v>232</v>
      </c>
      <c r="F63">
        <v>280</v>
      </c>
    </row>
    <row r="64" spans="1:7" ht="18">
      <c r="A64" s="16" t="s">
        <v>84</v>
      </c>
      <c r="B64" s="16"/>
      <c r="C64" s="16"/>
      <c r="D64" s="16"/>
      <c r="E64" t="s">
        <v>233</v>
      </c>
    </row>
  </sheetData>
  <mergeCells count="61">
    <mergeCell ref="A60:D60"/>
    <mergeCell ref="A61:D61"/>
    <mergeCell ref="A62:D62"/>
    <mergeCell ref="A63:D63"/>
    <mergeCell ref="A64:D64"/>
    <mergeCell ref="A59:D59"/>
    <mergeCell ref="A47:D47"/>
    <mergeCell ref="A48:D48"/>
    <mergeCell ref="A50:G50"/>
    <mergeCell ref="A51:D51"/>
    <mergeCell ref="A52:D52"/>
    <mergeCell ref="A53:D53"/>
    <mergeCell ref="A54:D54"/>
    <mergeCell ref="A55:D55"/>
    <mergeCell ref="A56:D56"/>
    <mergeCell ref="A57:D57"/>
    <mergeCell ref="A58:D58"/>
    <mergeCell ref="A46:D46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34:G34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1:G1"/>
    <mergeCell ref="A18:G18"/>
    <mergeCell ref="A19:D19"/>
    <mergeCell ref="A20:D20"/>
    <mergeCell ref="A2:G2"/>
    <mergeCell ref="A3:D3"/>
    <mergeCell ref="A4:D4"/>
    <mergeCell ref="A21:D21"/>
    <mergeCell ref="A15:D15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6:D1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>
      <selection activeCell="F22" sqref="F22"/>
    </sheetView>
  </sheetViews>
  <sheetFormatPr defaultRowHeight="15"/>
  <cols>
    <col min="4" max="4" width="42.28515625" customWidth="1"/>
    <col min="6" max="6" width="9.5703125" bestFit="1" customWidth="1"/>
  </cols>
  <sheetData>
    <row r="2" spans="1:7">
      <c r="A2" s="12" t="s">
        <v>47</v>
      </c>
      <c r="B2" s="12"/>
      <c r="C2" s="12"/>
      <c r="D2" s="12"/>
      <c r="E2" s="12"/>
      <c r="F2" s="12"/>
      <c r="G2" s="12"/>
    </row>
    <row r="3" spans="1:7" ht="18">
      <c r="A3" s="15" t="s">
        <v>92</v>
      </c>
      <c r="B3" s="15"/>
      <c r="C3" s="15"/>
      <c r="D3" s="15"/>
      <c r="E3" t="s">
        <v>88</v>
      </c>
      <c r="F3" s="3">
        <f>'Vettori energetici'!F4/('Vettori energetici'!F4+'Vettori energetici'!F5)</f>
        <v>0.84002325323884397</v>
      </c>
    </row>
    <row r="4" spans="1:7" ht="18">
      <c r="A4" s="15" t="s">
        <v>89</v>
      </c>
      <c r="B4" s="15"/>
      <c r="C4" s="15"/>
      <c r="D4" s="15"/>
      <c r="E4" t="s">
        <v>90</v>
      </c>
      <c r="F4" s="3">
        <f>'Vettori energetici'!F5/('Vettori energetici'!F4+'Vettori energetici'!F5)</f>
        <v>0.15997674676115603</v>
      </c>
    </row>
    <row r="5" spans="1:7" ht="18">
      <c r="A5" s="15" t="s">
        <v>91</v>
      </c>
      <c r="B5" s="15"/>
      <c r="C5" s="15"/>
      <c r="D5" s="15"/>
      <c r="E5" t="s">
        <v>94</v>
      </c>
      <c r="F5" s="4">
        <f>('Vettori energetici'!F3-'Vettori energetici'!F2)*F3</f>
        <v>30345</v>
      </c>
      <c r="G5" t="s">
        <v>42</v>
      </c>
    </row>
    <row r="6" spans="1:7" ht="18">
      <c r="A6" s="15" t="s">
        <v>93</v>
      </c>
      <c r="B6" s="15"/>
      <c r="C6" s="15"/>
      <c r="D6" s="15"/>
      <c r="E6" t="s">
        <v>95</v>
      </c>
      <c r="F6" s="4">
        <f>('Vettori energetici'!F3-'Vettori energetici'!F2)*F4</f>
        <v>5779</v>
      </c>
      <c r="G6" t="s">
        <v>42</v>
      </c>
    </row>
    <row r="8" spans="1:7">
      <c r="A8" s="12" t="s">
        <v>44</v>
      </c>
      <c r="B8" s="12"/>
      <c r="C8" s="12"/>
      <c r="D8" s="12"/>
      <c r="E8" s="12"/>
      <c r="F8" s="12"/>
      <c r="G8" s="12"/>
    </row>
    <row r="9" spans="1:7" ht="18">
      <c r="A9" s="15" t="s">
        <v>92</v>
      </c>
      <c r="B9" s="15"/>
      <c r="C9" s="15"/>
      <c r="D9" s="15"/>
      <c r="E9" t="s">
        <v>96</v>
      </c>
      <c r="F9" s="3">
        <f>'Vettori energetici'!F11/('Vettori energetici'!F11+'Vettori energetici'!F12)</f>
        <v>0.84008958566629344</v>
      </c>
    </row>
    <row r="10" spans="1:7" ht="18">
      <c r="A10" s="15" t="s">
        <v>89</v>
      </c>
      <c r="B10" s="15"/>
      <c r="C10" s="15"/>
      <c r="D10" s="15"/>
      <c r="E10" t="s">
        <v>97</v>
      </c>
      <c r="F10" s="3">
        <f>'Vettori energetici'!F12/('Vettori energetici'!F11+'Vettori energetici'!F12)</f>
        <v>0.15991041433370662</v>
      </c>
    </row>
    <row r="11" spans="1:7" ht="18">
      <c r="A11" s="15" t="s">
        <v>91</v>
      </c>
      <c r="B11" s="15"/>
      <c r="C11" s="15"/>
      <c r="D11" s="15"/>
      <c r="E11" t="s">
        <v>98</v>
      </c>
      <c r="F11" s="4">
        <f>('Vettori energetici'!F10-'Vettori energetici'!F9)*F9</f>
        <v>3751</v>
      </c>
      <c r="G11" t="s">
        <v>30</v>
      </c>
    </row>
    <row r="12" spans="1:7" ht="18">
      <c r="A12" s="15" t="s">
        <v>93</v>
      </c>
      <c r="B12" s="15"/>
      <c r="C12" s="15"/>
      <c r="D12" s="15"/>
      <c r="E12" t="s">
        <v>99</v>
      </c>
      <c r="F12" s="4">
        <f>('Vettori energetici'!F10-'Vettori energetici'!F9)*F10</f>
        <v>714</v>
      </c>
      <c r="G12" t="s">
        <v>30</v>
      </c>
    </row>
    <row r="14" spans="1:7">
      <c r="A14" s="12" t="s">
        <v>105</v>
      </c>
      <c r="B14" s="12"/>
      <c r="C14" s="12"/>
      <c r="D14" s="12"/>
      <c r="E14" s="12"/>
      <c r="F14" s="12"/>
      <c r="G14" s="12"/>
    </row>
    <row r="15" spans="1:7" ht="18">
      <c r="A15" s="15" t="s">
        <v>92</v>
      </c>
      <c r="B15" s="15"/>
      <c r="C15" s="15"/>
      <c r="D15" s="15"/>
      <c r="E15" t="s">
        <v>106</v>
      </c>
      <c r="F15" s="3">
        <f>Generatore!F5/(Generatore!F5+Generatore!F6)</f>
        <v>0.84000130589373589</v>
      </c>
    </row>
    <row r="16" spans="1:7" ht="18">
      <c r="A16" s="15" t="s">
        <v>89</v>
      </c>
      <c r="B16" s="15"/>
      <c r="C16" s="15"/>
      <c r="D16" s="15"/>
      <c r="E16" t="s">
        <v>107</v>
      </c>
      <c r="F16" s="3">
        <f>Generatore!F6/(Generatore!F5+Generatore!F6)</f>
        <v>0.15999869410626413</v>
      </c>
    </row>
    <row r="17" spans="1:7" ht="18">
      <c r="A17" s="15" t="s">
        <v>108</v>
      </c>
      <c r="B17" s="15"/>
      <c r="C17" s="15"/>
      <c r="D17" s="15"/>
      <c r="E17" t="s">
        <v>110</v>
      </c>
      <c r="F17" s="4">
        <f>(Generatore!F4-Generatore!F3)*F3</f>
        <v>283032.39480677666</v>
      </c>
      <c r="G17" t="s">
        <v>30</v>
      </c>
    </row>
    <row r="18" spans="1:7" ht="18">
      <c r="A18" s="15" t="s">
        <v>109</v>
      </c>
      <c r="B18" s="15"/>
      <c r="C18" s="15"/>
      <c r="D18" s="15"/>
      <c r="E18" t="s">
        <v>111</v>
      </c>
      <c r="F18" s="4">
        <f>(Generatore!F4-Generatore!F3)*F4</f>
        <v>53901.605193223346</v>
      </c>
      <c r="G18" t="s">
        <v>30</v>
      </c>
    </row>
    <row r="20" spans="1:7">
      <c r="A20" s="12" t="s">
        <v>112</v>
      </c>
      <c r="B20" s="12"/>
      <c r="C20" s="12"/>
      <c r="D20" s="12"/>
      <c r="E20" s="12"/>
      <c r="F20" s="12"/>
      <c r="G20" s="12"/>
    </row>
    <row r="21" spans="1:7" ht="33" customHeight="1">
      <c r="A21" s="16" t="s">
        <v>113</v>
      </c>
      <c r="B21" s="16"/>
      <c r="C21" s="16"/>
      <c r="D21" s="16"/>
      <c r="E21" t="s">
        <v>115</v>
      </c>
      <c r="F21" s="4">
        <f>F17</f>
        <v>283032.39480677666</v>
      </c>
      <c r="G21" t="s">
        <v>30</v>
      </c>
    </row>
    <row r="22" spans="1:7" ht="24.75" customHeight="1">
      <c r="A22" s="17" t="s">
        <v>114</v>
      </c>
      <c r="B22" s="17"/>
      <c r="C22" s="17"/>
      <c r="D22" s="17"/>
      <c r="E22" t="s">
        <v>116</v>
      </c>
      <c r="F22" s="4">
        <f>F18</f>
        <v>53901.605193223346</v>
      </c>
      <c r="G22" t="s">
        <v>30</v>
      </c>
    </row>
    <row r="23" spans="1:7" ht="33.75" customHeight="1">
      <c r="A23" s="16" t="s">
        <v>112</v>
      </c>
      <c r="B23" s="16"/>
      <c r="C23" s="16"/>
      <c r="D23" s="16"/>
      <c r="E23" t="s">
        <v>117</v>
      </c>
      <c r="F23" s="4">
        <f>F21+F22</f>
        <v>336934</v>
      </c>
      <c r="G23" t="s">
        <v>30</v>
      </c>
    </row>
  </sheetData>
  <mergeCells count="19">
    <mergeCell ref="A21:D21"/>
    <mergeCell ref="A22:D22"/>
    <mergeCell ref="A23:D23"/>
    <mergeCell ref="A14:G14"/>
    <mergeCell ref="A15:D15"/>
    <mergeCell ref="A16:D16"/>
    <mergeCell ref="A17:D17"/>
    <mergeCell ref="A18:D18"/>
    <mergeCell ref="A20:G20"/>
    <mergeCell ref="A8:G8"/>
    <mergeCell ref="A9:D9"/>
    <mergeCell ref="A10:D10"/>
    <mergeCell ref="A11:D11"/>
    <mergeCell ref="A12:D12"/>
    <mergeCell ref="A2:G2"/>
    <mergeCell ref="A3:D3"/>
    <mergeCell ref="A4:D4"/>
    <mergeCell ref="A5:D5"/>
    <mergeCell ref="A6:D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topLeftCell="A10" workbookViewId="0">
      <selection activeCell="F20" sqref="F20"/>
    </sheetView>
  </sheetViews>
  <sheetFormatPr defaultRowHeight="15"/>
  <cols>
    <col min="4" max="4" width="39.7109375" customWidth="1"/>
    <col min="5" max="5" width="9.28515625" customWidth="1"/>
    <col min="6" max="6" width="12.7109375" customWidth="1"/>
  </cols>
  <sheetData>
    <row r="2" spans="1:7">
      <c r="A2" s="12" t="s">
        <v>118</v>
      </c>
      <c r="B2" s="12"/>
      <c r="C2" s="12"/>
      <c r="D2" s="12"/>
      <c r="E2" s="12"/>
      <c r="F2" s="12"/>
      <c r="G2" s="12"/>
    </row>
    <row r="3" spans="1:7" ht="18">
      <c r="A3" s="15" t="s">
        <v>119</v>
      </c>
      <c r="B3" s="15"/>
      <c r="C3" s="15"/>
      <c r="D3" s="15"/>
      <c r="E3" t="s">
        <v>134</v>
      </c>
      <c r="F3" s="3">
        <f>('Vettori energetici'!F6*'Consumi vet energ.'!F5)+('Vettori energetici'!F13*'Consumi vet energ.'!F11)</f>
        <v>29214.714100000001</v>
      </c>
      <c r="G3" t="s">
        <v>31</v>
      </c>
    </row>
    <row r="4" spans="1:7" ht="18">
      <c r="A4" s="15" t="s">
        <v>120</v>
      </c>
      <c r="B4" s="15"/>
      <c r="C4" s="15"/>
      <c r="D4" s="15"/>
      <c r="E4" t="s">
        <v>135</v>
      </c>
      <c r="F4" s="3">
        <f>('Vettori energetici'!F6*'Consumi vet energ.'!F6)+('Vettori energetici'!F13*'Consumi vet energ.'!F12)</f>
        <v>5563.6373000000003</v>
      </c>
      <c r="G4" t="s">
        <v>31</v>
      </c>
    </row>
    <row r="5" spans="1:7" ht="18">
      <c r="A5" s="15" t="s">
        <v>92</v>
      </c>
      <c r="B5" s="15"/>
      <c r="C5" s="15"/>
      <c r="D5" s="15"/>
      <c r="E5" t="s">
        <v>106</v>
      </c>
      <c r="F5" s="3">
        <f>'Dati generali'!I16/('Dati generali'!I16+'Dati generali'!I17)</f>
        <v>0.8620699360101115</v>
      </c>
    </row>
    <row r="6" spans="1:7" ht="18">
      <c r="A6" s="15" t="s">
        <v>89</v>
      </c>
      <c r="B6" s="15"/>
      <c r="C6" s="15"/>
      <c r="D6" s="15"/>
      <c r="E6" t="s">
        <v>107</v>
      </c>
      <c r="F6" s="3">
        <f>'Dati generali'!I17/('Dati generali'!I16+'Dati generali'!I17)</f>
        <v>0.13793006398988852</v>
      </c>
    </row>
    <row r="7" spans="1:7" ht="37.5" customHeight="1">
      <c r="A7" s="16" t="s">
        <v>121</v>
      </c>
      <c r="B7" s="16"/>
      <c r="C7" s="16"/>
      <c r="D7" s="16"/>
      <c r="E7" t="s">
        <v>123</v>
      </c>
      <c r="F7" s="3">
        <f>'Dati generali'!I13*F5</f>
        <v>1631.0363189311311</v>
      </c>
      <c r="G7" t="s">
        <v>31</v>
      </c>
    </row>
    <row r="8" spans="1:7" ht="35.25" customHeight="1">
      <c r="A8" s="16" t="s">
        <v>122</v>
      </c>
      <c r="B8" s="16"/>
      <c r="C8" s="16"/>
      <c r="D8" s="16"/>
      <c r="E8" t="s">
        <v>124</v>
      </c>
      <c r="F8" s="3">
        <f>'Dati generali'!I13*F6</f>
        <v>260.96368106886911</v>
      </c>
      <c r="G8" t="s">
        <v>31</v>
      </c>
    </row>
    <row r="9" spans="1:7" ht="27.75" customHeight="1">
      <c r="A9" s="16" t="s">
        <v>125</v>
      </c>
      <c r="B9" s="16"/>
      <c r="C9" s="16"/>
      <c r="D9" s="16"/>
      <c r="E9" t="s">
        <v>127</v>
      </c>
      <c r="F9" s="3">
        <f>'Dati generali'!I14*F5</f>
        <v>1186.3461631396751</v>
      </c>
      <c r="G9" t="s">
        <v>31</v>
      </c>
    </row>
    <row r="10" spans="1:7" ht="31.5" customHeight="1">
      <c r="A10" s="16" t="s">
        <v>126</v>
      </c>
      <c r="B10" s="16"/>
      <c r="C10" s="16"/>
      <c r="D10" s="16"/>
      <c r="E10" t="s">
        <v>128</v>
      </c>
      <c r="F10" s="3">
        <f>'Dati generali'!I14*F6</f>
        <v>189.81383686032501</v>
      </c>
      <c r="G10" t="s">
        <v>31</v>
      </c>
    </row>
    <row r="11" spans="1:7" ht="18">
      <c r="A11" s="15" t="s">
        <v>129</v>
      </c>
      <c r="B11" s="15"/>
      <c r="C11" s="15"/>
      <c r="D11" s="15"/>
      <c r="E11" t="s">
        <v>131</v>
      </c>
      <c r="F11" s="3">
        <f>F3+F7+F9</f>
        <v>32032.096582070808</v>
      </c>
      <c r="G11" t="s">
        <v>31</v>
      </c>
    </row>
    <row r="12" spans="1:7" ht="18">
      <c r="A12" s="15" t="s">
        <v>130</v>
      </c>
      <c r="B12" s="15"/>
      <c r="C12" s="15"/>
      <c r="D12" s="15"/>
      <c r="E12" t="s">
        <v>132</v>
      </c>
      <c r="F12" s="3">
        <f>F4+F8+F10</f>
        <v>6014.4148179291942</v>
      </c>
      <c r="G12" t="s">
        <v>31</v>
      </c>
    </row>
    <row r="13" spans="1:7" ht="18">
      <c r="A13" s="15" t="s">
        <v>118</v>
      </c>
      <c r="B13" s="15"/>
      <c r="C13" s="15"/>
      <c r="D13" s="15"/>
      <c r="E13" t="s">
        <v>133</v>
      </c>
      <c r="F13" s="3">
        <f>F11+F12</f>
        <v>38046.511400000003</v>
      </c>
      <c r="G13" t="s">
        <v>31</v>
      </c>
    </row>
    <row r="15" spans="1:7">
      <c r="A15" s="12" t="s">
        <v>136</v>
      </c>
      <c r="B15" s="12"/>
      <c r="C15" s="12"/>
      <c r="D15" s="12"/>
      <c r="E15" s="12"/>
      <c r="F15" s="12"/>
      <c r="G15" s="12"/>
    </row>
    <row r="16" spans="1:7" ht="18">
      <c r="A16" s="15" t="s">
        <v>137</v>
      </c>
      <c r="B16" s="15"/>
      <c r="C16" s="15"/>
      <c r="D16" s="15"/>
      <c r="E16" t="s">
        <v>141</v>
      </c>
      <c r="F16" s="2">
        <f>F3/'Consumi vet energ.'!F21</f>
        <v>0.10322038973646316</v>
      </c>
      <c r="G16" t="s">
        <v>48</v>
      </c>
    </row>
    <row r="17" spans="1:7" ht="18">
      <c r="A17" s="15" t="s">
        <v>138</v>
      </c>
      <c r="B17" s="15"/>
      <c r="C17" s="15"/>
      <c r="D17" s="15"/>
      <c r="E17" t="s">
        <v>142</v>
      </c>
      <c r="F17" s="2">
        <f>F4/'Consumi vet energ.'!F22</f>
        <v>0.10321839730107844</v>
      </c>
      <c r="G17" t="s">
        <v>48</v>
      </c>
    </row>
    <row r="19" spans="1:7">
      <c r="A19" s="12" t="s">
        <v>139</v>
      </c>
      <c r="B19" s="12"/>
      <c r="C19" s="12"/>
      <c r="D19" s="12"/>
      <c r="E19" s="12"/>
      <c r="F19" s="12"/>
      <c r="G19" s="12"/>
    </row>
    <row r="20" spans="1:7" ht="18">
      <c r="A20" s="15" t="s">
        <v>140</v>
      </c>
      <c r="B20" s="15"/>
      <c r="C20" s="15"/>
      <c r="D20" s="15"/>
      <c r="E20" t="s">
        <v>143</v>
      </c>
      <c r="F20" s="4">
        <f>'Dati generali'!I15</f>
        <v>90265</v>
      </c>
      <c r="G20" t="s">
        <v>30</v>
      </c>
    </row>
  </sheetData>
  <mergeCells count="17">
    <mergeCell ref="A15:G15"/>
    <mergeCell ref="A16:D16"/>
    <mergeCell ref="A17:D17"/>
    <mergeCell ref="A19:G19"/>
    <mergeCell ref="A20:D20"/>
    <mergeCell ref="A13:D13"/>
    <mergeCell ref="A2:G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5"/>
  <sheetViews>
    <sheetView tabSelected="1" topLeftCell="A43" workbookViewId="0">
      <selection activeCell="I75" sqref="I75"/>
    </sheetView>
  </sheetViews>
  <sheetFormatPr defaultRowHeight="15"/>
  <cols>
    <col min="4" max="4" width="30.5703125" customWidth="1"/>
  </cols>
  <sheetData>
    <row r="2" spans="1:7">
      <c r="A2" s="12" t="s">
        <v>144</v>
      </c>
      <c r="B2" s="12"/>
      <c r="C2" s="12"/>
      <c r="D2" s="12"/>
      <c r="E2" s="12"/>
      <c r="F2" s="12"/>
      <c r="G2" s="12"/>
    </row>
    <row r="3" spans="1:7">
      <c r="A3" s="12" t="s">
        <v>159</v>
      </c>
      <c r="B3" s="12"/>
      <c r="C3" s="12"/>
      <c r="D3" s="12"/>
      <c r="E3" s="12"/>
      <c r="F3" s="12"/>
      <c r="G3" s="12"/>
    </row>
    <row r="4" spans="1:7" ht="18">
      <c r="A4" s="15" t="s">
        <v>145</v>
      </c>
      <c r="B4" s="15"/>
      <c r="C4" s="15"/>
      <c r="D4" s="15"/>
      <c r="E4" t="s">
        <v>146</v>
      </c>
      <c r="F4" s="4">
        <f>'Letture-mill. u.i.'!F4-'Letture-mill. u.i.'!F3</f>
        <v>608</v>
      </c>
      <c r="G4" t="s">
        <v>87</v>
      </c>
    </row>
    <row r="5" spans="1:7" ht="18">
      <c r="A5" s="15" t="s">
        <v>147</v>
      </c>
      <c r="B5" s="15"/>
      <c r="C5" s="15"/>
      <c r="D5" s="15"/>
      <c r="E5" t="s">
        <v>154</v>
      </c>
      <c r="F5" s="4">
        <f>'Letture-mill. u.i.'!F6-'Letture-mill. u.i.'!F5</f>
        <v>2016</v>
      </c>
      <c r="G5" t="s">
        <v>87</v>
      </c>
    </row>
    <row r="6" spans="1:7" ht="18">
      <c r="A6" s="15" t="s">
        <v>148</v>
      </c>
      <c r="B6" s="15"/>
      <c r="C6" s="15"/>
      <c r="D6" s="15"/>
      <c r="E6" t="s">
        <v>155</v>
      </c>
      <c r="F6" s="4">
        <f>'Letture-mill. u.i.'!F8-'Letture-mill. u.i.'!F7</f>
        <v>1260</v>
      </c>
      <c r="G6" t="s">
        <v>87</v>
      </c>
    </row>
    <row r="7" spans="1:7" ht="18">
      <c r="A7" s="15" t="s">
        <v>149</v>
      </c>
      <c r="B7" s="15"/>
      <c r="C7" s="15"/>
      <c r="D7" s="15"/>
      <c r="E7" t="s">
        <v>156</v>
      </c>
      <c r="F7" s="4">
        <f>'Letture-mill. u.i.'!F10-'Letture-mill. u.i.'!F9</f>
        <v>1512</v>
      </c>
      <c r="G7" t="s">
        <v>87</v>
      </c>
    </row>
    <row r="8" spans="1:7" ht="18">
      <c r="A8" s="15" t="s">
        <v>150</v>
      </c>
      <c r="B8" s="15"/>
      <c r="C8" s="15"/>
      <c r="D8" s="15"/>
      <c r="E8" t="s">
        <v>157</v>
      </c>
      <c r="F8" s="4">
        <f>'Letture-mill. u.i.'!F12-'Letture-mill. u.i.'!F11</f>
        <v>1412</v>
      </c>
      <c r="G8" t="s">
        <v>87</v>
      </c>
    </row>
    <row r="9" spans="1:7" ht="18">
      <c r="A9" s="15" t="s">
        <v>151</v>
      </c>
      <c r="B9" s="15"/>
      <c r="C9" s="15"/>
      <c r="D9" s="15"/>
      <c r="E9" t="s">
        <v>158</v>
      </c>
      <c r="F9" s="4"/>
      <c r="G9" t="s">
        <v>87</v>
      </c>
    </row>
    <row r="10" spans="1:7">
      <c r="A10" s="15"/>
      <c r="B10" s="15"/>
      <c r="C10" s="15"/>
      <c r="D10" s="15"/>
      <c r="F10" s="4"/>
    </row>
    <row r="11" spans="1:7">
      <c r="A11" s="15"/>
      <c r="B11" s="15"/>
      <c r="C11" s="15"/>
      <c r="D11" s="15"/>
      <c r="F11" s="4"/>
    </row>
    <row r="12" spans="1:7">
      <c r="A12" s="15"/>
      <c r="B12" s="15"/>
      <c r="C12" s="15"/>
      <c r="D12" s="15"/>
      <c r="F12" s="4"/>
    </row>
    <row r="13" spans="1:7">
      <c r="A13" s="15"/>
      <c r="B13" s="15"/>
      <c r="C13" s="15"/>
      <c r="D13" s="15"/>
      <c r="F13" s="4"/>
    </row>
    <row r="14" spans="1:7" ht="18">
      <c r="A14" s="15" t="s">
        <v>152</v>
      </c>
      <c r="B14" s="15"/>
      <c r="C14" s="15"/>
      <c r="D14" s="15"/>
      <c r="E14" t="s">
        <v>153</v>
      </c>
      <c r="F14" s="4">
        <v>5168</v>
      </c>
    </row>
    <row r="16" spans="1:7">
      <c r="A16" s="12" t="s">
        <v>160</v>
      </c>
      <c r="B16" s="12"/>
      <c r="C16" s="12"/>
      <c r="D16" s="12"/>
      <c r="E16" s="12"/>
      <c r="F16" s="12"/>
      <c r="G16" s="12"/>
    </row>
    <row r="17" spans="1:7" ht="18">
      <c r="A17" s="15" t="s">
        <v>145</v>
      </c>
      <c r="B17" s="15"/>
      <c r="C17" s="15"/>
      <c r="D17" s="15"/>
      <c r="E17" t="s">
        <v>164</v>
      </c>
      <c r="F17" s="4">
        <f>'Letture-mill. u.i.'!F20-'Letture-mill. u.i.'!F19</f>
        <v>526</v>
      </c>
      <c r="G17" t="s">
        <v>87</v>
      </c>
    </row>
    <row r="18" spans="1:7" ht="18">
      <c r="A18" s="15" t="s">
        <v>147</v>
      </c>
      <c r="B18" s="15"/>
      <c r="C18" s="15"/>
      <c r="D18" s="15"/>
      <c r="E18" t="s">
        <v>165</v>
      </c>
      <c r="F18" s="4">
        <f>'Letture-mill. u.i.'!F22-'Letture-mill. u.i.'!F21</f>
        <v>2248</v>
      </c>
      <c r="G18" t="s">
        <v>87</v>
      </c>
    </row>
    <row r="19" spans="1:7" ht="18">
      <c r="A19" s="15" t="s">
        <v>148</v>
      </c>
      <c r="B19" s="15"/>
      <c r="C19" s="15"/>
      <c r="D19" s="15"/>
      <c r="E19" t="s">
        <v>166</v>
      </c>
      <c r="F19" s="4">
        <f>'Letture-mill. u.i.'!F24-'Letture-mill. u.i.'!F23</f>
        <v>1405</v>
      </c>
      <c r="G19" t="s">
        <v>87</v>
      </c>
    </row>
    <row r="20" spans="1:7" ht="18">
      <c r="A20" s="15" t="s">
        <v>149</v>
      </c>
      <c r="B20" s="15"/>
      <c r="C20" s="15"/>
      <c r="D20" s="15"/>
      <c r="E20" t="s">
        <v>167</v>
      </c>
      <c r="F20" s="4">
        <f>'Letture-mill. u.i.'!F26-'Letture-mill. u.i.'!F25</f>
        <v>1706</v>
      </c>
      <c r="G20" t="s">
        <v>87</v>
      </c>
    </row>
    <row r="21" spans="1:7" ht="18">
      <c r="A21" s="15" t="s">
        <v>150</v>
      </c>
      <c r="B21" s="15"/>
      <c r="C21" s="15"/>
      <c r="D21" s="15"/>
      <c r="E21" t="s">
        <v>168</v>
      </c>
      <c r="F21" s="4">
        <f>'Letture-mill. u.i.'!F28-'Letture-mill. u.i.'!F27</f>
        <v>1606</v>
      </c>
      <c r="G21" t="s">
        <v>87</v>
      </c>
    </row>
    <row r="22" spans="1:7" ht="18">
      <c r="A22" s="15" t="s">
        <v>151</v>
      </c>
      <c r="B22" s="15"/>
      <c r="C22" s="15"/>
      <c r="D22" s="15"/>
      <c r="E22" t="s">
        <v>169</v>
      </c>
      <c r="F22" s="4"/>
      <c r="G22" t="s">
        <v>87</v>
      </c>
    </row>
    <row r="23" spans="1:7">
      <c r="A23" s="15"/>
      <c r="B23" s="15"/>
      <c r="C23" s="15"/>
      <c r="D23" s="15"/>
      <c r="F23" s="4"/>
    </row>
    <row r="24" spans="1:7">
      <c r="A24" s="15"/>
      <c r="B24" s="15"/>
      <c r="C24" s="15"/>
      <c r="D24" s="15"/>
      <c r="F24" s="4"/>
    </row>
    <row r="25" spans="1:7">
      <c r="A25" s="15"/>
      <c r="B25" s="15"/>
      <c r="C25" s="15"/>
      <c r="D25" s="15"/>
      <c r="F25" s="4"/>
    </row>
    <row r="26" spans="1:7">
      <c r="A26" s="15"/>
      <c r="B26" s="15"/>
      <c r="C26" s="15"/>
      <c r="D26" s="15"/>
      <c r="F26" s="4"/>
    </row>
    <row r="27" spans="1:7" ht="18">
      <c r="A27" s="15" t="s">
        <v>152</v>
      </c>
      <c r="B27" s="15"/>
      <c r="C27" s="15"/>
      <c r="D27" s="15"/>
      <c r="E27" t="s">
        <v>170</v>
      </c>
      <c r="F27" s="4">
        <f>SUM(F17:F26)</f>
        <v>7491</v>
      </c>
    </row>
    <row r="29" spans="1:7">
      <c r="A29" s="12" t="s">
        <v>161</v>
      </c>
      <c r="B29" s="12"/>
      <c r="C29" s="12"/>
      <c r="D29" s="12"/>
      <c r="E29" s="12"/>
      <c r="F29" s="12"/>
      <c r="G29" s="12"/>
    </row>
    <row r="30" spans="1:7" ht="18">
      <c r="A30" s="15" t="s">
        <v>145</v>
      </c>
      <c r="B30" s="15"/>
      <c r="C30" s="15"/>
      <c r="D30" s="15"/>
      <c r="E30" t="s">
        <v>171</v>
      </c>
      <c r="F30" s="4">
        <f>'Letture-mill. u.i.'!F36-'Letture-mill. u.i.'!F35</f>
        <v>608</v>
      </c>
      <c r="G30" t="s">
        <v>87</v>
      </c>
    </row>
    <row r="31" spans="1:7" ht="18">
      <c r="A31" s="15" t="s">
        <v>147</v>
      </c>
      <c r="B31" s="15"/>
      <c r="C31" s="15"/>
      <c r="D31" s="15"/>
      <c r="E31" t="s">
        <v>172</v>
      </c>
      <c r="F31" s="4">
        <f>'Letture-mill. u.i.'!F38-'Letture-mill. u.i.'!F37</f>
        <v>2030</v>
      </c>
      <c r="G31" t="s">
        <v>87</v>
      </c>
    </row>
    <row r="32" spans="1:7" ht="18">
      <c r="A32" s="15" t="s">
        <v>148</v>
      </c>
      <c r="B32" s="15"/>
      <c r="C32" s="15"/>
      <c r="D32" s="15"/>
      <c r="E32" t="s">
        <v>173</v>
      </c>
      <c r="F32" s="4">
        <f>'Letture-mill. u.i.'!F40-'Letture-mill. u.i.'!F39</f>
        <v>333</v>
      </c>
      <c r="G32" t="s">
        <v>87</v>
      </c>
    </row>
    <row r="33" spans="1:7" ht="18">
      <c r="A33" s="15" t="s">
        <v>149</v>
      </c>
      <c r="B33" s="15"/>
      <c r="C33" s="15"/>
      <c r="D33" s="15"/>
      <c r="E33" t="s">
        <v>174</v>
      </c>
      <c r="F33" s="4">
        <f>'Letture-mill. u.i.'!F42-'Letture-mill. u.i.'!F41</f>
        <v>1923</v>
      </c>
      <c r="G33" t="s">
        <v>87</v>
      </c>
    </row>
    <row r="34" spans="1:7" ht="18">
      <c r="A34" s="15" t="s">
        <v>150</v>
      </c>
      <c r="B34" s="15"/>
      <c r="C34" s="15"/>
      <c r="D34" s="15"/>
      <c r="E34" t="s">
        <v>175</v>
      </c>
      <c r="F34" s="4">
        <f>'Letture-mill. u.i.'!F44-'Letture-mill. u.i.'!F43</f>
        <v>1523</v>
      </c>
      <c r="G34" t="s">
        <v>87</v>
      </c>
    </row>
    <row r="35" spans="1:7" ht="18">
      <c r="A35" s="15" t="s">
        <v>151</v>
      </c>
      <c r="B35" s="15"/>
      <c r="C35" s="15"/>
      <c r="D35" s="15"/>
      <c r="E35" t="s">
        <v>176</v>
      </c>
      <c r="F35" s="4"/>
      <c r="G35" t="s">
        <v>87</v>
      </c>
    </row>
    <row r="36" spans="1:7">
      <c r="A36" s="15"/>
      <c r="B36" s="15"/>
      <c r="C36" s="15"/>
      <c r="D36" s="15"/>
      <c r="F36" s="4"/>
    </row>
    <row r="37" spans="1:7">
      <c r="A37" s="15"/>
      <c r="B37" s="15"/>
      <c r="C37" s="15"/>
      <c r="D37" s="15"/>
      <c r="F37" s="4"/>
    </row>
    <row r="38" spans="1:7">
      <c r="A38" s="15"/>
      <c r="B38" s="15"/>
      <c r="C38" s="15"/>
      <c r="D38" s="15"/>
      <c r="F38" s="4"/>
    </row>
    <row r="39" spans="1:7">
      <c r="A39" s="15"/>
      <c r="B39" s="15"/>
      <c r="C39" s="15"/>
      <c r="D39" s="15"/>
      <c r="F39" s="4"/>
    </row>
    <row r="40" spans="1:7" ht="18">
      <c r="A40" s="15" t="s">
        <v>152</v>
      </c>
      <c r="B40" s="15"/>
      <c r="C40" s="15"/>
      <c r="D40" s="15"/>
      <c r="E40" t="s">
        <v>177</v>
      </c>
      <c r="F40" s="4">
        <f>SUM(F30:F39)</f>
        <v>6417</v>
      </c>
    </row>
    <row r="42" spans="1:7">
      <c r="A42" s="12" t="s">
        <v>162</v>
      </c>
      <c r="B42" s="12"/>
      <c r="C42" s="12"/>
      <c r="D42" s="12"/>
      <c r="E42" s="12"/>
      <c r="F42" s="12"/>
      <c r="G42" s="12"/>
    </row>
    <row r="43" spans="1:7" ht="18">
      <c r="A43" s="15" t="s">
        <v>145</v>
      </c>
      <c r="B43" s="15"/>
      <c r="C43" s="15"/>
      <c r="D43" s="15"/>
      <c r="E43" t="s">
        <v>178</v>
      </c>
      <c r="F43" s="4">
        <f>'Letture-mill. u.i.'!F52-'Letture-mill. u.i.'!F51</f>
        <v>496</v>
      </c>
      <c r="G43" t="s">
        <v>87</v>
      </c>
    </row>
    <row r="44" spans="1:7" ht="18">
      <c r="A44" s="15" t="s">
        <v>147</v>
      </c>
      <c r="B44" s="15"/>
      <c r="C44" s="15"/>
      <c r="D44" s="15"/>
      <c r="E44" t="s">
        <v>179</v>
      </c>
      <c r="F44" s="4">
        <f>'Letture-mill. u.i.'!F54-'Letture-mill. u.i.'!F53</f>
        <v>1736</v>
      </c>
      <c r="G44" t="s">
        <v>87</v>
      </c>
    </row>
    <row r="45" spans="1:7" ht="18">
      <c r="A45" s="15" t="s">
        <v>148</v>
      </c>
      <c r="B45" s="15"/>
      <c r="C45" s="15"/>
      <c r="D45" s="15"/>
      <c r="E45" t="s">
        <v>180</v>
      </c>
      <c r="F45" s="4">
        <f>'Letture-mill. u.i.'!F56-'Letture-mill. u.i.'!F55</f>
        <v>1016</v>
      </c>
      <c r="G45" t="s">
        <v>87</v>
      </c>
    </row>
    <row r="46" spans="1:7" ht="18">
      <c r="A46" s="15" t="s">
        <v>149</v>
      </c>
      <c r="B46" s="15"/>
      <c r="C46" s="15"/>
      <c r="D46" s="15"/>
      <c r="E46" t="s">
        <v>181</v>
      </c>
      <c r="F46" s="4">
        <f>'Letture-mill. u.i.'!F58-'Letture-mill. u.i.'!F57</f>
        <v>1539</v>
      </c>
      <c r="G46" t="s">
        <v>87</v>
      </c>
    </row>
    <row r="47" spans="1:7" ht="18">
      <c r="A47" s="15" t="s">
        <v>150</v>
      </c>
      <c r="B47" s="15"/>
      <c r="C47" s="15"/>
      <c r="D47" s="15"/>
      <c r="E47" t="s">
        <v>182</v>
      </c>
      <c r="F47" s="4">
        <f>'Letture-mill. u.i.'!F60-'Letture-mill. u.i.'!F59</f>
        <v>1239</v>
      </c>
      <c r="G47" t="s">
        <v>87</v>
      </c>
    </row>
    <row r="48" spans="1:7" ht="18">
      <c r="A48" s="15" t="s">
        <v>151</v>
      </c>
      <c r="B48" s="15"/>
      <c r="C48" s="15"/>
      <c r="D48" s="15"/>
      <c r="E48" t="s">
        <v>183</v>
      </c>
      <c r="F48" s="4"/>
      <c r="G48" t="s">
        <v>87</v>
      </c>
    </row>
    <row r="49" spans="1:7">
      <c r="A49" s="15"/>
      <c r="B49" s="15"/>
      <c r="C49" s="15"/>
      <c r="D49" s="15"/>
      <c r="F49" s="4"/>
    </row>
    <row r="50" spans="1:7">
      <c r="A50" s="15"/>
      <c r="B50" s="15"/>
      <c r="C50" s="15"/>
      <c r="D50" s="15"/>
      <c r="F50" s="4"/>
    </row>
    <row r="51" spans="1:7">
      <c r="A51" s="15"/>
      <c r="B51" s="15"/>
      <c r="C51" s="15"/>
      <c r="D51" s="15"/>
      <c r="F51" s="4"/>
    </row>
    <row r="52" spans="1:7">
      <c r="A52" s="15"/>
      <c r="B52" s="15"/>
      <c r="C52" s="15"/>
      <c r="D52" s="15"/>
      <c r="F52" s="4"/>
    </row>
    <row r="53" spans="1:7" ht="18">
      <c r="A53" s="15" t="s">
        <v>152</v>
      </c>
      <c r="B53" s="15"/>
      <c r="C53" s="15"/>
      <c r="D53" s="15"/>
      <c r="E53" t="s">
        <v>184</v>
      </c>
      <c r="F53" s="4">
        <f>SUM(F43:F52)</f>
        <v>6026</v>
      </c>
    </row>
    <row r="55" spans="1:7">
      <c r="A55" s="12" t="s">
        <v>163</v>
      </c>
      <c r="B55" s="12"/>
      <c r="C55" s="12"/>
      <c r="D55" s="12"/>
      <c r="E55" s="12"/>
      <c r="F55" s="12"/>
      <c r="G55" s="12"/>
    </row>
    <row r="56" spans="1:7" ht="18">
      <c r="A56" s="15" t="s">
        <v>145</v>
      </c>
      <c r="B56" s="15"/>
      <c r="C56" s="15"/>
      <c r="D56" s="15"/>
      <c r="E56" t="s">
        <v>185</v>
      </c>
      <c r="F56" s="4"/>
      <c r="G56" t="s">
        <v>87</v>
      </c>
    </row>
    <row r="57" spans="1:7" ht="18">
      <c r="A57" s="15" t="s">
        <v>147</v>
      </c>
      <c r="B57" s="15"/>
      <c r="C57" s="15"/>
      <c r="D57" s="15"/>
      <c r="E57" t="s">
        <v>186</v>
      </c>
      <c r="F57" s="4"/>
      <c r="G57" t="s">
        <v>87</v>
      </c>
    </row>
    <row r="58" spans="1:7" ht="18">
      <c r="A58" s="15" t="s">
        <v>148</v>
      </c>
      <c r="B58" s="15"/>
      <c r="C58" s="15"/>
      <c r="D58" s="15"/>
      <c r="E58" t="s">
        <v>187</v>
      </c>
      <c r="F58" s="4"/>
      <c r="G58" t="s">
        <v>87</v>
      </c>
    </row>
    <row r="59" spans="1:7" ht="18">
      <c r="A59" s="15" t="s">
        <v>149</v>
      </c>
      <c r="B59" s="15"/>
      <c r="C59" s="15"/>
      <c r="D59" s="15"/>
      <c r="E59" t="s">
        <v>188</v>
      </c>
      <c r="F59" s="4"/>
      <c r="G59" t="s">
        <v>87</v>
      </c>
    </row>
    <row r="60" spans="1:7" ht="18">
      <c r="A60" s="15" t="s">
        <v>150</v>
      </c>
      <c r="B60" s="15"/>
      <c r="C60" s="15"/>
      <c r="D60" s="15"/>
      <c r="E60" t="s">
        <v>189</v>
      </c>
      <c r="F60" s="4"/>
      <c r="G60" t="s">
        <v>87</v>
      </c>
    </row>
    <row r="61" spans="1:7" ht="18">
      <c r="A61" s="15" t="s">
        <v>151</v>
      </c>
      <c r="B61" s="15"/>
      <c r="C61" s="15"/>
      <c r="D61" s="15"/>
      <c r="E61" t="s">
        <v>190</v>
      </c>
      <c r="F61" s="4"/>
      <c r="G61" t="s">
        <v>87</v>
      </c>
    </row>
    <row r="62" spans="1:7">
      <c r="A62" s="15"/>
      <c r="B62" s="15"/>
      <c r="C62" s="15"/>
      <c r="D62" s="15"/>
      <c r="F62" s="4"/>
    </row>
    <row r="63" spans="1:7">
      <c r="A63" s="15"/>
      <c r="B63" s="15"/>
      <c r="C63" s="15"/>
      <c r="D63" s="15"/>
      <c r="F63" s="4"/>
    </row>
    <row r="64" spans="1:7">
      <c r="A64" s="15"/>
      <c r="B64" s="15"/>
      <c r="C64" s="15"/>
      <c r="D64" s="15"/>
      <c r="F64" s="4"/>
    </row>
    <row r="65" spans="1:9">
      <c r="A65" s="15"/>
      <c r="B65" s="15"/>
      <c r="C65" s="15"/>
      <c r="D65" s="15"/>
      <c r="F65" s="4"/>
    </row>
    <row r="66" spans="1:9" ht="18">
      <c r="A66" s="15" t="s">
        <v>152</v>
      </c>
      <c r="B66" s="15"/>
      <c r="C66" s="15"/>
      <c r="D66" s="15"/>
      <c r="E66" t="s">
        <v>191</v>
      </c>
      <c r="F66" s="4">
        <f>SUM(F56:F65)</f>
        <v>0</v>
      </c>
    </row>
    <row r="75" spans="1:9" ht="18">
      <c r="A75" s="15" t="s">
        <v>244</v>
      </c>
      <c r="B75" s="15"/>
      <c r="C75" s="15"/>
      <c r="D75" s="15"/>
      <c r="E75" t="s">
        <v>191</v>
      </c>
      <c r="F75" s="9">
        <v>365340</v>
      </c>
      <c r="I75" s="9"/>
    </row>
  </sheetData>
  <mergeCells count="62">
    <mergeCell ref="A75:D75"/>
    <mergeCell ref="A61:D61"/>
    <mergeCell ref="A62:D62"/>
    <mergeCell ref="A63:D63"/>
    <mergeCell ref="A64:D64"/>
    <mergeCell ref="A65:D65"/>
    <mergeCell ref="A66:D66"/>
    <mergeCell ref="A60:D60"/>
    <mergeCell ref="A48:D48"/>
    <mergeCell ref="A49:D49"/>
    <mergeCell ref="A50:D50"/>
    <mergeCell ref="A51:D51"/>
    <mergeCell ref="A52:D52"/>
    <mergeCell ref="A53:D53"/>
    <mergeCell ref="A55:G55"/>
    <mergeCell ref="A56:D56"/>
    <mergeCell ref="A57:D57"/>
    <mergeCell ref="A58:D58"/>
    <mergeCell ref="A59:D59"/>
    <mergeCell ref="A47:D47"/>
    <mergeCell ref="A35:D35"/>
    <mergeCell ref="A36:D36"/>
    <mergeCell ref="A37:D37"/>
    <mergeCell ref="A38:D38"/>
    <mergeCell ref="A39:D39"/>
    <mergeCell ref="A40:D40"/>
    <mergeCell ref="A42:G42"/>
    <mergeCell ref="A43:D43"/>
    <mergeCell ref="A44:D44"/>
    <mergeCell ref="A45:D45"/>
    <mergeCell ref="A46:D46"/>
    <mergeCell ref="A34:D34"/>
    <mergeCell ref="A22:D22"/>
    <mergeCell ref="A23:D23"/>
    <mergeCell ref="A24:D24"/>
    <mergeCell ref="A25:D25"/>
    <mergeCell ref="A26:D26"/>
    <mergeCell ref="A27:D27"/>
    <mergeCell ref="A29:G29"/>
    <mergeCell ref="A30:D30"/>
    <mergeCell ref="A31:D31"/>
    <mergeCell ref="A32:D32"/>
    <mergeCell ref="A33:D33"/>
    <mergeCell ref="A21:D21"/>
    <mergeCell ref="A9:D9"/>
    <mergeCell ref="A10:D10"/>
    <mergeCell ref="A11:D11"/>
    <mergeCell ref="A12:D12"/>
    <mergeCell ref="A13:D13"/>
    <mergeCell ref="A14:D14"/>
    <mergeCell ref="A16:G16"/>
    <mergeCell ref="A17:D17"/>
    <mergeCell ref="A18:D18"/>
    <mergeCell ref="A19:D19"/>
    <mergeCell ref="A20:D20"/>
    <mergeCell ref="A8:D8"/>
    <mergeCell ref="A3:G3"/>
    <mergeCell ref="A2:G2"/>
    <mergeCell ref="A4:D4"/>
    <mergeCell ref="A5:D5"/>
    <mergeCell ref="A6:D6"/>
    <mergeCell ref="A7:D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6"/>
  <sheetViews>
    <sheetView topLeftCell="A19" zoomScaleNormal="100" workbookViewId="0">
      <selection activeCell="O4" sqref="O4"/>
    </sheetView>
  </sheetViews>
  <sheetFormatPr defaultRowHeight="15"/>
  <cols>
    <col min="4" max="4" width="40.140625" customWidth="1"/>
    <col min="8" max="8" width="3.28515625" customWidth="1"/>
    <col min="9" max="9" width="3.42578125" customWidth="1"/>
    <col min="13" max="13" width="14.28515625" customWidth="1"/>
    <col min="15" max="15" width="12" bestFit="1" customWidth="1"/>
    <col min="16" max="16" width="40.85546875" customWidth="1"/>
  </cols>
  <sheetData>
    <row r="1" spans="1:16">
      <c r="A1" s="12" t="s">
        <v>234</v>
      </c>
      <c r="B1" s="12"/>
      <c r="C1" s="12"/>
      <c r="D1" s="12"/>
      <c r="E1" s="12"/>
      <c r="F1" s="12"/>
      <c r="G1" s="12"/>
    </row>
    <row r="2" spans="1:16">
      <c r="A2" s="12" t="s">
        <v>235</v>
      </c>
      <c r="B2" s="12"/>
      <c r="C2" s="12"/>
      <c r="D2" s="12"/>
      <c r="E2" s="12"/>
      <c r="F2" s="12"/>
      <c r="G2" s="12"/>
      <c r="J2" s="15" t="s">
        <v>245</v>
      </c>
      <c r="K2" s="15"/>
      <c r="L2" s="15"/>
      <c r="M2" s="15"/>
      <c r="N2" s="15"/>
      <c r="O2" s="15"/>
      <c r="P2" s="15"/>
    </row>
    <row r="3" spans="1:16" ht="18" customHeight="1">
      <c r="A3" s="15" t="s">
        <v>236</v>
      </c>
      <c r="B3" s="15"/>
      <c r="C3" s="15"/>
      <c r="D3" s="15"/>
      <c r="E3" t="s">
        <v>238</v>
      </c>
      <c r="F3" s="3">
        <f>('Consumi vet energ.'!$F$21-'Spese e costi unitari'!$F$20)*('Ripart. u.i.'!F14/'Ripart. u.i.'!F75)</f>
        <v>2726.8349930514637</v>
      </c>
      <c r="G3" t="s">
        <v>30</v>
      </c>
      <c r="J3" s="13" t="s">
        <v>246</v>
      </c>
      <c r="K3" s="13"/>
      <c r="L3" s="13"/>
      <c r="M3" s="13"/>
      <c r="N3" s="18" t="s">
        <v>249</v>
      </c>
      <c r="O3" s="3">
        <f>F3+F6+F9+F12+F15</f>
        <v>13244.77786292141</v>
      </c>
    </row>
    <row r="4" spans="1:16" ht="18">
      <c r="A4" s="15" t="s">
        <v>237</v>
      </c>
      <c r="B4" s="15"/>
      <c r="C4" s="15"/>
      <c r="D4" s="15"/>
      <c r="E4" t="s">
        <v>239</v>
      </c>
      <c r="F4" s="8">
        <v>1380.4559999999999</v>
      </c>
      <c r="J4" s="13"/>
      <c r="K4" s="13"/>
      <c r="L4" s="13"/>
      <c r="M4" s="13"/>
      <c r="N4" s="18"/>
      <c r="O4">
        <v>194343.16999999998</v>
      </c>
      <c r="P4" t="s">
        <v>30</v>
      </c>
    </row>
    <row r="5" spans="1:16">
      <c r="A5" s="12" t="s">
        <v>241</v>
      </c>
      <c r="B5" s="12"/>
      <c r="C5" s="12"/>
      <c r="D5" s="12"/>
      <c r="E5" s="12"/>
      <c r="F5" s="12"/>
      <c r="G5" s="12"/>
      <c r="J5" s="13"/>
      <c r="K5" s="13"/>
      <c r="L5" s="13"/>
      <c r="M5" s="13"/>
      <c r="N5" s="18"/>
    </row>
    <row r="6" spans="1:16" ht="18">
      <c r="A6" s="15" t="s">
        <v>236</v>
      </c>
      <c r="B6" s="15"/>
      <c r="C6" s="15"/>
      <c r="D6" s="15"/>
      <c r="E6" t="s">
        <v>273</v>
      </c>
      <c r="F6" s="3">
        <f>('Consumi vet energ.'!$F$21-'Spese e costi unitari'!$F$20)*('Ripart. u.i.'!F27/'Ripart. u.i.'!$F$75)</f>
        <v>3952.5388802144957</v>
      </c>
      <c r="G6" t="s">
        <v>30</v>
      </c>
      <c r="J6" s="13" t="s">
        <v>247</v>
      </c>
      <c r="K6" s="13"/>
      <c r="L6" s="13"/>
      <c r="M6" s="13"/>
      <c r="N6" s="18" t="s">
        <v>250</v>
      </c>
    </row>
    <row r="7" spans="1:16" ht="18">
      <c r="A7" s="15" t="s">
        <v>237</v>
      </c>
      <c r="B7" s="15"/>
      <c r="C7" s="15"/>
      <c r="D7" s="15"/>
      <c r="E7" t="s">
        <v>274</v>
      </c>
      <c r="F7" s="8">
        <v>1</v>
      </c>
      <c r="J7" s="13"/>
      <c r="K7" s="13"/>
      <c r="L7" s="13"/>
      <c r="M7" s="13"/>
      <c r="N7" s="18"/>
      <c r="O7">
        <v>63347.6</v>
      </c>
      <c r="P7" t="s">
        <v>30</v>
      </c>
    </row>
    <row r="8" spans="1:16">
      <c r="A8" s="12" t="s">
        <v>242</v>
      </c>
      <c r="B8" s="12"/>
      <c r="C8" s="12"/>
      <c r="D8" s="12"/>
      <c r="E8" s="12"/>
      <c r="F8" s="12"/>
      <c r="G8" s="12"/>
      <c r="J8" s="13"/>
      <c r="K8" s="13"/>
      <c r="L8" s="13"/>
      <c r="M8" s="13"/>
      <c r="N8" s="18"/>
      <c r="O8" s="8">
        <v>2</v>
      </c>
    </row>
    <row r="9" spans="1:16" ht="18">
      <c r="A9" s="15" t="s">
        <v>236</v>
      </c>
      <c r="B9" s="15"/>
      <c r="C9" s="15"/>
      <c r="D9" s="15"/>
      <c r="E9" t="s">
        <v>275</v>
      </c>
      <c r="F9" s="3">
        <f>('Consumi vet energ.'!$F$21-'Spese e costi unitari'!$F$20)*('Ripart. u.i.'!F40/'Ripart. u.i.'!$F$75)</f>
        <v>3385.8552922622375</v>
      </c>
      <c r="G9" t="s">
        <v>30</v>
      </c>
      <c r="J9" s="13" t="s">
        <v>248</v>
      </c>
      <c r="K9" s="13"/>
      <c r="L9" s="13"/>
      <c r="M9" s="13"/>
      <c r="N9" s="18" t="s">
        <v>251</v>
      </c>
    </row>
    <row r="10" spans="1:16" ht="18">
      <c r="A10" s="15" t="s">
        <v>237</v>
      </c>
      <c r="B10" s="15"/>
      <c r="C10" s="15"/>
      <c r="D10" s="15"/>
      <c r="E10" t="s">
        <v>276</v>
      </c>
      <c r="F10" s="8">
        <v>1</v>
      </c>
      <c r="J10" s="13"/>
      <c r="K10" s="13"/>
      <c r="L10" s="13"/>
      <c r="M10" s="13"/>
      <c r="N10" s="18"/>
      <c r="O10" s="4">
        <f>'Consumi vet energ.'!F22-O7</f>
        <v>-9445.9948067766527</v>
      </c>
      <c r="P10" t="s">
        <v>30</v>
      </c>
    </row>
    <row r="11" spans="1:16">
      <c r="A11" s="12" t="s">
        <v>243</v>
      </c>
      <c r="B11" s="12"/>
      <c r="C11" s="12"/>
      <c r="D11" s="12"/>
      <c r="E11" s="12"/>
      <c r="F11" s="12"/>
      <c r="G11" s="12"/>
      <c r="N11" s="7"/>
    </row>
    <row r="12" spans="1:16" ht="18">
      <c r="A12" s="15" t="s">
        <v>236</v>
      </c>
      <c r="B12" s="15"/>
      <c r="C12" s="15"/>
      <c r="D12" s="15"/>
      <c r="E12" t="s">
        <v>277</v>
      </c>
      <c r="F12" s="3">
        <f>('Consumi vet energ.'!$F$21-'Spese e costi unitari'!$F$20)*('Ripart. u.i.'!F53/'Ripart. u.i.'!$F$75)</f>
        <v>3179.5486973932125</v>
      </c>
      <c r="G12" t="s">
        <v>30</v>
      </c>
    </row>
    <row r="13" spans="1:16" ht="18">
      <c r="A13" s="15" t="s">
        <v>237</v>
      </c>
      <c r="B13" s="15"/>
      <c r="C13" s="15"/>
      <c r="D13" s="15"/>
      <c r="E13" t="s">
        <v>278</v>
      </c>
      <c r="F13" s="8">
        <v>1</v>
      </c>
      <c r="J13" s="18" t="s">
        <v>252</v>
      </c>
      <c r="K13" s="18"/>
      <c r="L13" s="18"/>
      <c r="M13" s="18"/>
      <c r="N13" s="18"/>
      <c r="O13" s="18"/>
      <c r="P13" s="18"/>
    </row>
    <row r="14" spans="1:16">
      <c r="A14" s="12" t="s">
        <v>240</v>
      </c>
      <c r="B14" s="12"/>
      <c r="C14" s="12"/>
      <c r="D14" s="12"/>
      <c r="E14" s="12"/>
      <c r="F14" s="12"/>
      <c r="G14" s="12"/>
      <c r="J14" s="13" t="s">
        <v>253</v>
      </c>
      <c r="K14" s="13"/>
      <c r="L14" s="13"/>
      <c r="M14" s="13"/>
      <c r="N14" s="18" t="s">
        <v>257</v>
      </c>
      <c r="O14" s="3"/>
    </row>
    <row r="15" spans="1:16" ht="18">
      <c r="A15" s="15" t="s">
        <v>236</v>
      </c>
      <c r="B15" s="15"/>
      <c r="C15" s="15"/>
      <c r="D15" s="15"/>
      <c r="E15" t="s">
        <v>279</v>
      </c>
      <c r="F15" s="3"/>
      <c r="G15" t="s">
        <v>30</v>
      </c>
      <c r="J15" s="13"/>
      <c r="K15" s="13"/>
      <c r="L15" s="13"/>
      <c r="M15" s="13"/>
      <c r="N15" s="18"/>
      <c r="O15" s="3">
        <f>'Spese e costi unitari'!F16*O4</f>
        <v>20060.177750019713</v>
      </c>
      <c r="P15" t="s">
        <v>31</v>
      </c>
    </row>
    <row r="16" spans="1:16" ht="18">
      <c r="A16" s="15" t="s">
        <v>237</v>
      </c>
      <c r="B16" s="15"/>
      <c r="C16" s="15"/>
      <c r="D16" s="15"/>
      <c r="E16" t="s">
        <v>239</v>
      </c>
      <c r="F16" s="8">
        <v>1</v>
      </c>
      <c r="J16" s="13"/>
      <c r="K16" s="13"/>
      <c r="L16" s="13"/>
      <c r="M16" s="13"/>
      <c r="N16" s="18"/>
    </row>
    <row r="17" spans="1:16">
      <c r="J17" s="13" t="s">
        <v>254</v>
      </c>
      <c r="K17" s="13"/>
      <c r="L17" s="13"/>
      <c r="M17" s="13"/>
      <c r="N17" s="18" t="s">
        <v>258</v>
      </c>
    </row>
    <row r="18" spans="1:16">
      <c r="J18" s="13"/>
      <c r="K18" s="13"/>
      <c r="L18" s="13"/>
      <c r="M18" s="13"/>
      <c r="N18" s="18"/>
      <c r="O18">
        <f>'Spese e costi unitari'!F17*O7</f>
        <v>6538.6377448697967</v>
      </c>
      <c r="P18" t="s">
        <v>31</v>
      </c>
    </row>
    <row r="19" spans="1:16">
      <c r="J19" s="13"/>
      <c r="K19" s="13"/>
      <c r="L19" s="13"/>
      <c r="M19" s="13"/>
      <c r="N19" s="18"/>
    </row>
    <row r="20" spans="1:16">
      <c r="J20" s="13" t="s">
        <v>255</v>
      </c>
      <c r="K20" s="13"/>
      <c r="L20" s="13"/>
      <c r="M20" s="13"/>
      <c r="N20" s="18" t="s">
        <v>18</v>
      </c>
    </row>
    <row r="21" spans="1:16">
      <c r="J21" s="13"/>
      <c r="K21" s="13"/>
      <c r="L21" s="13"/>
      <c r="M21" s="13"/>
      <c r="N21" s="18"/>
      <c r="O21" s="4">
        <f>('Spese e costi unitari'!F16*'Spese e costi unitari'!F20)+'Spese e costi unitari'!F7+'Spese e costi unitari'!F9</f>
        <v>12134.570961632653</v>
      </c>
      <c r="P21" t="s">
        <v>31</v>
      </c>
    </row>
    <row r="22" spans="1:16" ht="15" customHeight="1">
      <c r="J22" s="13" t="s">
        <v>256</v>
      </c>
      <c r="K22" s="13"/>
      <c r="L22" s="13"/>
      <c r="M22" s="13"/>
      <c r="N22" s="18" t="s">
        <v>259</v>
      </c>
    </row>
    <row r="23" spans="1:16">
      <c r="J23" s="13"/>
      <c r="K23" s="13"/>
      <c r="L23" s="13"/>
      <c r="M23" s="13"/>
      <c r="N23" s="18"/>
      <c r="O23" s="4">
        <f>('Spese e costi unitari'!F17*O10)+'Spese e costi unitari'!F8+'Spese e costi unitari'!F10</f>
        <v>-524.22292694060229</v>
      </c>
      <c r="P23" t="s">
        <v>31</v>
      </c>
    </row>
    <row r="29" spans="1:16" ht="18" customHeight="1">
      <c r="A29" s="8">
        <v>1</v>
      </c>
      <c r="B29" s="15" t="s">
        <v>293</v>
      </c>
      <c r="C29" s="15"/>
      <c r="D29" s="15"/>
      <c r="E29" s="15"/>
      <c r="F29" s="15"/>
      <c r="G29" s="15"/>
    </row>
    <row r="31" spans="1:16">
      <c r="B31" t="s">
        <v>280</v>
      </c>
    </row>
    <row r="32" spans="1:16" ht="17.25">
      <c r="B32" t="s">
        <v>282</v>
      </c>
      <c r="C32" s="17" t="s">
        <v>283</v>
      </c>
      <c r="D32" s="17"/>
      <c r="E32" s="17"/>
      <c r="F32" s="17"/>
      <c r="G32" s="17"/>
      <c r="L32">
        <f>36*1.162*0.001*1000*33</f>
        <v>1380.4559999999997</v>
      </c>
    </row>
    <row r="33" spans="1:11" ht="17.25">
      <c r="B33" t="s">
        <v>281</v>
      </c>
      <c r="C33" s="17" t="s">
        <v>284</v>
      </c>
      <c r="D33" s="17"/>
      <c r="E33" s="17"/>
      <c r="F33" s="17"/>
      <c r="G33" s="17"/>
    </row>
    <row r="34" spans="1:11" ht="17.25">
      <c r="B34" t="s">
        <v>285</v>
      </c>
      <c r="C34" s="17" t="s">
        <v>286</v>
      </c>
      <c r="D34" s="17"/>
      <c r="E34" s="17"/>
      <c r="F34" s="17"/>
      <c r="G34" s="17"/>
    </row>
    <row r="35" spans="1:11" ht="17.25">
      <c r="B35" t="s">
        <v>287</v>
      </c>
      <c r="C35" s="17" t="s">
        <v>295</v>
      </c>
      <c r="D35" s="17"/>
      <c r="E35" s="17"/>
      <c r="F35" s="17"/>
      <c r="G35" s="17"/>
    </row>
    <row r="36" spans="1:11">
      <c r="B36" t="s">
        <v>288</v>
      </c>
      <c r="C36" s="17" t="s">
        <v>289</v>
      </c>
      <c r="D36" s="17"/>
      <c r="E36" s="17"/>
      <c r="F36" s="17"/>
      <c r="G36" s="17"/>
      <c r="H36" s="17"/>
      <c r="I36" s="17"/>
      <c r="J36" s="7"/>
      <c r="K36" s="7"/>
    </row>
    <row r="37" spans="1:11">
      <c r="B37" t="s">
        <v>290</v>
      </c>
      <c r="C37" s="17" t="s">
        <v>291</v>
      </c>
      <c r="D37" s="17"/>
      <c r="E37" s="17"/>
      <c r="F37" s="17"/>
      <c r="G37" s="17"/>
    </row>
    <row r="39" spans="1:11">
      <c r="B39" s="17" t="s">
        <v>292</v>
      </c>
      <c r="C39" s="17"/>
      <c r="D39" s="17"/>
      <c r="E39" s="17"/>
      <c r="F39" s="17"/>
      <c r="G39" s="17"/>
    </row>
    <row r="40" spans="1:11" ht="17.25">
      <c r="B40" s="17" t="s">
        <v>294</v>
      </c>
      <c r="C40" s="17"/>
      <c r="D40" s="17"/>
      <c r="E40" s="17"/>
      <c r="F40" s="17"/>
      <c r="G40" s="17"/>
    </row>
    <row r="44" spans="1:11" ht="23.25" customHeight="1">
      <c r="A44" s="8">
        <v>2</v>
      </c>
      <c r="B44" s="13" t="s">
        <v>296</v>
      </c>
      <c r="C44" s="13"/>
      <c r="D44" s="13"/>
      <c r="E44" s="13"/>
      <c r="F44" s="13"/>
      <c r="G44" s="13"/>
    </row>
    <row r="45" spans="1:11">
      <c r="B45" s="7"/>
    </row>
    <row r="46" spans="1:11">
      <c r="B46" s="7"/>
    </row>
  </sheetData>
  <mergeCells count="42">
    <mergeCell ref="B40:G40"/>
    <mergeCell ref="B39:G39"/>
    <mergeCell ref="B44:G44"/>
    <mergeCell ref="C34:G34"/>
    <mergeCell ref="C35:G35"/>
    <mergeCell ref="C37:G37"/>
    <mergeCell ref="C36:I36"/>
    <mergeCell ref="B29:G29"/>
    <mergeCell ref="C32:G32"/>
    <mergeCell ref="C33:G33"/>
    <mergeCell ref="J17:M19"/>
    <mergeCell ref="N17:N19"/>
    <mergeCell ref="J20:M21"/>
    <mergeCell ref="N20:N21"/>
    <mergeCell ref="J22:M23"/>
    <mergeCell ref="N22:N23"/>
    <mergeCell ref="N6:N8"/>
    <mergeCell ref="N9:N10"/>
    <mergeCell ref="J13:P13"/>
    <mergeCell ref="J14:M16"/>
    <mergeCell ref="N14:N16"/>
    <mergeCell ref="A14:G14"/>
    <mergeCell ref="A15:D15"/>
    <mergeCell ref="A16:D16"/>
    <mergeCell ref="J2:P2"/>
    <mergeCell ref="J3:M5"/>
    <mergeCell ref="J6:M8"/>
    <mergeCell ref="J9:M10"/>
    <mergeCell ref="A7:D7"/>
    <mergeCell ref="A8:G8"/>
    <mergeCell ref="A9:D9"/>
    <mergeCell ref="A10:D10"/>
    <mergeCell ref="A11:G11"/>
    <mergeCell ref="A12:D12"/>
    <mergeCell ref="A2:G2"/>
    <mergeCell ref="A3:D3"/>
    <mergeCell ref="N3:N5"/>
    <mergeCell ref="A1:G1"/>
    <mergeCell ref="A4:D4"/>
    <mergeCell ref="A5:G5"/>
    <mergeCell ref="A6:D6"/>
    <mergeCell ref="A13:D13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6"/>
  <sheetViews>
    <sheetView workbookViewId="0">
      <selection activeCell="F3" sqref="F3"/>
    </sheetView>
  </sheetViews>
  <sheetFormatPr defaultRowHeight="15"/>
  <cols>
    <col min="4" max="4" width="41.85546875" customWidth="1"/>
  </cols>
  <sheetData>
    <row r="1" spans="1:7">
      <c r="A1" s="12" t="s">
        <v>260</v>
      </c>
      <c r="B1" s="12"/>
      <c r="C1" s="12"/>
      <c r="D1" s="12"/>
      <c r="E1" s="12"/>
      <c r="F1" s="12"/>
      <c r="G1" s="12"/>
    </row>
    <row r="2" spans="1:7">
      <c r="A2" s="12" t="s">
        <v>235</v>
      </c>
      <c r="B2" s="12"/>
      <c r="C2" s="12"/>
      <c r="D2" s="12"/>
      <c r="E2" s="12"/>
      <c r="F2" s="12"/>
      <c r="G2" s="12"/>
    </row>
    <row r="3" spans="1:7" ht="18">
      <c r="A3" s="15" t="s">
        <v>261</v>
      </c>
      <c r="B3" s="15"/>
      <c r="C3" s="15"/>
      <c r="D3" s="15"/>
      <c r="E3" t="s">
        <v>266</v>
      </c>
      <c r="F3" s="3">
        <f>'Spese e costi unitari'!$F$16*'Consumo e spesa'!F3</f>
        <v>281.46497072979793</v>
      </c>
      <c r="G3" t="s">
        <v>31</v>
      </c>
    </row>
    <row r="4" spans="1:7" ht="18">
      <c r="A4" s="15" t="s">
        <v>262</v>
      </c>
      <c r="B4" s="15"/>
      <c r="C4" s="15"/>
      <c r="D4" s="15"/>
      <c r="E4" t="s">
        <v>267</v>
      </c>
      <c r="F4">
        <f>'Spese e costi unitari'!$F$17*'Consumo e spesa'!F4</f>
        <v>142.48845586465754</v>
      </c>
      <c r="G4" t="s">
        <v>31</v>
      </c>
    </row>
    <row r="5" spans="1:7" ht="18">
      <c r="A5" s="15" t="s">
        <v>263</v>
      </c>
      <c r="B5" s="15"/>
      <c r="C5" s="15"/>
      <c r="D5" s="15"/>
      <c r="E5" t="s">
        <v>268</v>
      </c>
      <c r="F5" s="3">
        <f>'Consumo e spesa'!$O$21*('Letture-mill. u.i.'!F15/1000)</f>
        <v>291.44812535649305</v>
      </c>
      <c r="G5" t="s">
        <v>31</v>
      </c>
    </row>
    <row r="6" spans="1:7" ht="18">
      <c r="A6" s="15" t="s">
        <v>264</v>
      </c>
      <c r="B6" s="15"/>
      <c r="C6" s="15"/>
      <c r="D6" s="15"/>
      <c r="E6" t="s">
        <v>269</v>
      </c>
      <c r="F6" s="3">
        <f>'Consumo e spesa'!$O$23*('Letture-mill. u.i.'!F16/1000)</f>
        <v>-13.507127935551557</v>
      </c>
      <c r="G6" t="s">
        <v>31</v>
      </c>
    </row>
    <row r="7" spans="1:7" ht="18">
      <c r="A7" s="15" t="s">
        <v>129</v>
      </c>
      <c r="B7" s="15"/>
      <c r="C7" s="15"/>
      <c r="D7" s="15"/>
      <c r="E7" t="s">
        <v>270</v>
      </c>
      <c r="F7" s="3">
        <f>F3+F5</f>
        <v>572.91309608629103</v>
      </c>
      <c r="G7" t="s">
        <v>31</v>
      </c>
    </row>
    <row r="8" spans="1:7" ht="18">
      <c r="A8" s="15" t="s">
        <v>130</v>
      </c>
      <c r="B8" s="15"/>
      <c r="C8" s="15"/>
      <c r="D8" s="15"/>
      <c r="E8" t="s">
        <v>271</v>
      </c>
      <c r="F8" s="3">
        <f>F4+F6</f>
        <v>128.98132792910599</v>
      </c>
      <c r="G8" t="s">
        <v>31</v>
      </c>
    </row>
    <row r="9" spans="1:7" ht="18">
      <c r="A9" s="15" t="s">
        <v>265</v>
      </c>
      <c r="B9" s="15"/>
      <c r="C9" s="15"/>
      <c r="D9" s="15"/>
      <c r="E9" t="s">
        <v>272</v>
      </c>
      <c r="F9" s="3">
        <f>F7+F8</f>
        <v>701.89442401539702</v>
      </c>
      <c r="G9" t="s">
        <v>31</v>
      </c>
    </row>
    <row r="11" spans="1:7">
      <c r="A11" s="12" t="s">
        <v>235</v>
      </c>
      <c r="B11" s="12"/>
      <c r="C11" s="12"/>
      <c r="D11" s="12"/>
      <c r="E11" s="12"/>
      <c r="F11" s="12"/>
      <c r="G11" s="12"/>
    </row>
    <row r="12" spans="1:7" ht="18">
      <c r="A12" s="15" t="s">
        <v>261</v>
      </c>
      <c r="B12" s="15"/>
      <c r="C12" s="15"/>
      <c r="D12" s="15"/>
      <c r="E12" t="s">
        <v>266</v>
      </c>
      <c r="F12" s="3">
        <f>'Spese e costi unitari'!$F$16*'Consumo e spesa'!F6</f>
        <v>407.98260366426393</v>
      </c>
      <c r="G12" t="s">
        <v>31</v>
      </c>
    </row>
    <row r="13" spans="1:7" ht="18">
      <c r="A13" s="15" t="s">
        <v>262</v>
      </c>
      <c r="B13" s="15"/>
      <c r="C13" s="15"/>
      <c r="D13" s="15"/>
      <c r="E13" t="s">
        <v>267</v>
      </c>
      <c r="F13">
        <f>'Spese e costi unitari'!$F$17*'Consumo e spesa'!F7</f>
        <v>0.10321839730107844</v>
      </c>
      <c r="G13" t="s">
        <v>31</v>
      </c>
    </row>
    <row r="14" spans="1:7" ht="18">
      <c r="A14" s="15" t="s">
        <v>263</v>
      </c>
      <c r="B14" s="15"/>
      <c r="C14" s="15"/>
      <c r="D14" s="15"/>
      <c r="E14" t="s">
        <v>268</v>
      </c>
      <c r="F14" s="3">
        <f>'Consumo e spesa'!$O$21*('Letture-mill. u.i.'!F31/1000)</f>
        <v>2669.6056115591837</v>
      </c>
      <c r="G14" t="s">
        <v>31</v>
      </c>
    </row>
    <row r="15" spans="1:7" ht="18">
      <c r="A15" s="15" t="s">
        <v>264</v>
      </c>
      <c r="B15" s="15"/>
      <c r="C15" s="15"/>
      <c r="D15" s="15"/>
      <c r="E15" t="s">
        <v>269</v>
      </c>
      <c r="F15" s="3">
        <f>'Consumo e spesa'!$O$23*('Letture-mill. u.i.'!F32/1000)</f>
        <v>0</v>
      </c>
      <c r="G15" t="s">
        <v>31</v>
      </c>
    </row>
    <row r="16" spans="1:7" ht="18">
      <c r="A16" s="15" t="s">
        <v>129</v>
      </c>
      <c r="B16" s="15"/>
      <c r="C16" s="15"/>
      <c r="D16" s="15"/>
      <c r="E16" t="s">
        <v>270</v>
      </c>
      <c r="F16" s="3">
        <f>F12+F14</f>
        <v>3077.5882152234476</v>
      </c>
      <c r="G16" t="s">
        <v>31</v>
      </c>
    </row>
    <row r="17" spans="1:7" ht="18">
      <c r="A17" s="15" t="s">
        <v>130</v>
      </c>
      <c r="B17" s="15"/>
      <c r="C17" s="15"/>
      <c r="D17" s="15"/>
      <c r="E17" t="s">
        <v>271</v>
      </c>
      <c r="F17" s="3">
        <f>F13+F15</f>
        <v>0.10321839730107844</v>
      </c>
      <c r="G17" t="s">
        <v>31</v>
      </c>
    </row>
    <row r="18" spans="1:7" ht="18">
      <c r="A18" s="15" t="s">
        <v>265</v>
      </c>
      <c r="B18" s="15"/>
      <c r="C18" s="15"/>
      <c r="D18" s="15"/>
      <c r="E18" t="s">
        <v>272</v>
      </c>
      <c r="F18" s="3">
        <f>F16+F17</f>
        <v>3077.6914336207487</v>
      </c>
      <c r="G18" t="s">
        <v>31</v>
      </c>
    </row>
    <row r="20" spans="1:7">
      <c r="A20" s="12" t="s">
        <v>235</v>
      </c>
      <c r="B20" s="12"/>
      <c r="C20" s="12"/>
      <c r="D20" s="12"/>
      <c r="E20" s="12"/>
      <c r="F20" s="12"/>
      <c r="G20" s="12"/>
    </row>
    <row r="21" spans="1:7" ht="18">
      <c r="A21" s="15" t="s">
        <v>261</v>
      </c>
      <c r="B21" s="15"/>
      <c r="C21" s="15"/>
      <c r="D21" s="15"/>
      <c r="E21" t="s">
        <v>266</v>
      </c>
      <c r="F21" s="3">
        <f>'Spese e costi unitari'!$F$16*'Consumo e spesa'!F9</f>
        <v>349.48930285857455</v>
      </c>
      <c r="G21" t="s">
        <v>31</v>
      </c>
    </row>
    <row r="22" spans="1:7" ht="18">
      <c r="A22" s="15" t="s">
        <v>262</v>
      </c>
      <c r="B22" s="15"/>
      <c r="C22" s="15"/>
      <c r="D22" s="15"/>
      <c r="E22" t="s">
        <v>267</v>
      </c>
      <c r="F22">
        <f>'Spese e costi unitari'!$F$17*'Consumo e spesa'!F10</f>
        <v>0.10321839730107844</v>
      </c>
      <c r="G22" t="s">
        <v>31</v>
      </c>
    </row>
    <row r="23" spans="1:7" ht="18">
      <c r="A23" s="15" t="s">
        <v>263</v>
      </c>
      <c r="B23" s="15"/>
      <c r="C23" s="15"/>
      <c r="D23" s="15"/>
      <c r="E23" t="s">
        <v>268</v>
      </c>
      <c r="F23" s="3">
        <f>'Consumo e spesa'!$O$21*('Letture-mill. u.i.'!F47/1000)</f>
        <v>3397.6798692571433</v>
      </c>
      <c r="G23" t="s">
        <v>31</v>
      </c>
    </row>
    <row r="24" spans="1:7" ht="18">
      <c r="A24" s="15" t="s">
        <v>264</v>
      </c>
      <c r="B24" s="15"/>
      <c r="C24" s="15"/>
      <c r="D24" s="15"/>
      <c r="E24" t="s">
        <v>269</v>
      </c>
      <c r="F24" s="3">
        <f>'Consumo e spesa'!$O$23*('Letture-mill. u.i.'!F48/1000)</f>
        <v>0</v>
      </c>
      <c r="G24" t="s">
        <v>31</v>
      </c>
    </row>
    <row r="25" spans="1:7" ht="18">
      <c r="A25" s="15" t="s">
        <v>129</v>
      </c>
      <c r="B25" s="15"/>
      <c r="C25" s="15"/>
      <c r="D25" s="15"/>
      <c r="E25" t="s">
        <v>270</v>
      </c>
      <c r="F25" s="3">
        <f>F21+F23</f>
        <v>3747.1691721157176</v>
      </c>
      <c r="G25" t="s">
        <v>31</v>
      </c>
    </row>
    <row r="26" spans="1:7" ht="18">
      <c r="A26" s="15" t="s">
        <v>130</v>
      </c>
      <c r="B26" s="15"/>
      <c r="C26" s="15"/>
      <c r="D26" s="15"/>
      <c r="E26" t="s">
        <v>271</v>
      </c>
      <c r="F26" s="3">
        <f>F22+F24</f>
        <v>0.10321839730107844</v>
      </c>
      <c r="G26" t="s">
        <v>31</v>
      </c>
    </row>
    <row r="27" spans="1:7" ht="18">
      <c r="A27" s="15" t="s">
        <v>265</v>
      </c>
      <c r="B27" s="15"/>
      <c r="C27" s="15"/>
      <c r="D27" s="15"/>
      <c r="E27" t="s">
        <v>272</v>
      </c>
      <c r="F27" s="3">
        <f>F25+F26</f>
        <v>3747.2723905130188</v>
      </c>
      <c r="G27" t="s">
        <v>31</v>
      </c>
    </row>
    <row r="29" spans="1:7">
      <c r="A29" s="12" t="s">
        <v>235</v>
      </c>
      <c r="B29" s="12"/>
      <c r="C29" s="12"/>
      <c r="D29" s="12"/>
      <c r="E29" s="12"/>
      <c r="F29" s="12"/>
      <c r="G29" s="12"/>
    </row>
    <row r="30" spans="1:7" ht="18">
      <c r="A30" s="15" t="s">
        <v>261</v>
      </c>
      <c r="B30" s="15"/>
      <c r="C30" s="15"/>
      <c r="D30" s="15"/>
      <c r="E30" t="s">
        <v>266</v>
      </c>
      <c r="F30" s="3">
        <f>'Spese e costi unitari'!$F$16*'Consumo e spesa'!F12</f>
        <v>328.19425573099119</v>
      </c>
      <c r="G30" t="s">
        <v>31</v>
      </c>
    </row>
    <row r="31" spans="1:7" ht="18">
      <c r="A31" s="15" t="s">
        <v>262</v>
      </c>
      <c r="B31" s="15"/>
      <c r="C31" s="15"/>
      <c r="D31" s="15"/>
      <c r="E31" t="s">
        <v>267</v>
      </c>
      <c r="F31">
        <f>'Spese e costi unitari'!$F$17*'Consumo e spesa'!F13</f>
        <v>0.10321839730107844</v>
      </c>
      <c r="G31" t="s">
        <v>31</v>
      </c>
    </row>
    <row r="32" spans="1:7" ht="18">
      <c r="A32" s="15" t="s">
        <v>263</v>
      </c>
      <c r="B32" s="15"/>
      <c r="C32" s="15"/>
      <c r="D32" s="15"/>
      <c r="E32" t="s">
        <v>268</v>
      </c>
      <c r="F32" s="3">
        <f>'Consumo e spesa'!$O$21*('Letture-mill. u.i.'!F63/1000)</f>
        <v>3397.6798692571433</v>
      </c>
      <c r="G32" t="s">
        <v>31</v>
      </c>
    </row>
    <row r="33" spans="1:7" ht="18">
      <c r="A33" s="15" t="s">
        <v>264</v>
      </c>
      <c r="B33" s="15"/>
      <c r="C33" s="15"/>
      <c r="D33" s="15"/>
      <c r="E33" t="s">
        <v>269</v>
      </c>
      <c r="F33" s="3">
        <f>'Consumo e spesa'!$O$23*('Letture-mill. u.i.'!F64/1000)</f>
        <v>0</v>
      </c>
      <c r="G33" t="s">
        <v>31</v>
      </c>
    </row>
    <row r="34" spans="1:7" ht="18">
      <c r="A34" s="15" t="s">
        <v>129</v>
      </c>
      <c r="B34" s="15"/>
      <c r="C34" s="15"/>
      <c r="D34" s="15"/>
      <c r="E34" t="s">
        <v>270</v>
      </c>
      <c r="F34" s="3">
        <f>F30+F32</f>
        <v>3725.8741249881346</v>
      </c>
      <c r="G34" t="s">
        <v>31</v>
      </c>
    </row>
    <row r="35" spans="1:7" ht="18">
      <c r="A35" s="15" t="s">
        <v>130</v>
      </c>
      <c r="B35" s="15"/>
      <c r="C35" s="15"/>
      <c r="D35" s="15"/>
      <c r="E35" t="s">
        <v>271</v>
      </c>
      <c r="F35" s="3">
        <f>F31+F33</f>
        <v>0.10321839730107844</v>
      </c>
      <c r="G35" t="s">
        <v>31</v>
      </c>
    </row>
    <row r="36" spans="1:7" ht="18">
      <c r="A36" s="15" t="s">
        <v>265</v>
      </c>
      <c r="B36" s="15"/>
      <c r="C36" s="15"/>
      <c r="D36" s="15"/>
      <c r="E36" t="s">
        <v>272</v>
      </c>
      <c r="F36" s="3">
        <f>F34+F35</f>
        <v>3725.9773433854357</v>
      </c>
      <c r="G36" t="s">
        <v>31</v>
      </c>
    </row>
  </sheetData>
  <mergeCells count="33">
    <mergeCell ref="A34:D34"/>
    <mergeCell ref="A35:D35"/>
    <mergeCell ref="A36:D36"/>
    <mergeCell ref="A27:D27"/>
    <mergeCell ref="A29:G29"/>
    <mergeCell ref="A30:D30"/>
    <mergeCell ref="A31:D31"/>
    <mergeCell ref="A32:D32"/>
    <mergeCell ref="A33:D33"/>
    <mergeCell ref="A26:D26"/>
    <mergeCell ref="A14:D14"/>
    <mergeCell ref="A15:D15"/>
    <mergeCell ref="A16:D16"/>
    <mergeCell ref="A17:D17"/>
    <mergeCell ref="A18:D18"/>
    <mergeCell ref="A20:G20"/>
    <mergeCell ref="A21:D21"/>
    <mergeCell ref="A22:D22"/>
    <mergeCell ref="A23:D23"/>
    <mergeCell ref="A24:D24"/>
    <mergeCell ref="A25:D25"/>
    <mergeCell ref="A13:D13"/>
    <mergeCell ref="A2:G2"/>
    <mergeCell ref="A3:D3"/>
    <mergeCell ref="A1:G1"/>
    <mergeCell ref="A4:D4"/>
    <mergeCell ref="A5:D5"/>
    <mergeCell ref="A6:D6"/>
    <mergeCell ref="A7:D7"/>
    <mergeCell ref="A8:D8"/>
    <mergeCell ref="A9:D9"/>
    <mergeCell ref="A11:G11"/>
    <mergeCell ref="A12:D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opLeftCell="A10" workbookViewId="0">
      <selection activeCell="E2" sqref="E2:E46"/>
    </sheetView>
  </sheetViews>
  <sheetFormatPr defaultRowHeight="15"/>
  <cols>
    <col min="1" max="1" width="10.140625" bestFit="1" customWidth="1"/>
    <col min="2" max="2" width="26.42578125" bestFit="1" customWidth="1"/>
    <col min="4" max="4" width="11.140625" bestFit="1" customWidth="1"/>
    <col min="5" max="5" width="27.42578125" bestFit="1" customWidth="1"/>
  </cols>
  <sheetData>
    <row r="1" spans="1:5">
      <c r="A1" t="s">
        <v>318</v>
      </c>
      <c r="B1" t="s">
        <v>319</v>
      </c>
      <c r="D1" t="s">
        <v>320</v>
      </c>
      <c r="E1" t="s">
        <v>321</v>
      </c>
    </row>
    <row r="2" spans="1:5">
      <c r="A2">
        <v>36</v>
      </c>
      <c r="B2" s="3">
        <f>A2*0.001162*1000*33</f>
        <v>1380.4560000000001</v>
      </c>
      <c r="D2">
        <v>5168</v>
      </c>
      <c r="E2">
        <v>2749.12</v>
      </c>
    </row>
    <row r="3" spans="1:5">
      <c r="A3">
        <v>23</v>
      </c>
      <c r="B3" s="3">
        <f t="shared" ref="B3:B46" si="0">A3*0.001162*1000*33</f>
        <v>881.95799999999997</v>
      </c>
      <c r="D3">
        <v>9654</v>
      </c>
      <c r="E3">
        <v>5135.46</v>
      </c>
    </row>
    <row r="4" spans="1:5">
      <c r="A4">
        <v>30</v>
      </c>
      <c r="B4" s="3">
        <f t="shared" si="0"/>
        <v>1150.3799999999999</v>
      </c>
      <c r="D4">
        <v>3442</v>
      </c>
      <c r="E4">
        <v>1830.98</v>
      </c>
    </row>
    <row r="5" spans="1:5">
      <c r="A5">
        <v>57</v>
      </c>
      <c r="B5" s="3">
        <f t="shared" si="0"/>
        <v>2185.7219999999998</v>
      </c>
      <c r="D5">
        <v>4461</v>
      </c>
      <c r="E5">
        <v>2373.04</v>
      </c>
    </row>
    <row r="6" spans="1:5">
      <c r="A6">
        <v>49</v>
      </c>
      <c r="B6" s="3">
        <f t="shared" si="0"/>
        <v>1878.9540000000002</v>
      </c>
      <c r="D6">
        <v>6598</v>
      </c>
      <c r="E6">
        <v>3509.82</v>
      </c>
    </row>
    <row r="7" spans="1:5">
      <c r="A7">
        <v>49</v>
      </c>
      <c r="B7" s="3">
        <f t="shared" si="0"/>
        <v>1878.9540000000002</v>
      </c>
      <c r="D7">
        <v>5259</v>
      </c>
      <c r="E7">
        <v>2797.53</v>
      </c>
    </row>
    <row r="8" spans="1:5">
      <c r="A8">
        <v>0</v>
      </c>
      <c r="B8" s="3">
        <f t="shared" si="0"/>
        <v>0</v>
      </c>
      <c r="D8">
        <v>1040</v>
      </c>
      <c r="E8">
        <v>553.23</v>
      </c>
    </row>
    <row r="9" spans="1:5">
      <c r="A9">
        <v>41</v>
      </c>
      <c r="B9" s="3">
        <f t="shared" si="0"/>
        <v>1572.1860000000001</v>
      </c>
      <c r="D9">
        <v>3083</v>
      </c>
      <c r="E9">
        <v>1640.01</v>
      </c>
    </row>
    <row r="10" spans="1:5">
      <c r="A10">
        <v>56</v>
      </c>
      <c r="B10" s="3">
        <f t="shared" si="0"/>
        <v>2147.3760000000002</v>
      </c>
      <c r="D10">
        <v>6837</v>
      </c>
      <c r="E10">
        <v>3636.95</v>
      </c>
    </row>
    <row r="11" spans="1:5">
      <c r="A11">
        <v>13</v>
      </c>
      <c r="B11" s="3">
        <f t="shared" si="0"/>
        <v>498.49800000000005</v>
      </c>
      <c r="D11">
        <v>11634</v>
      </c>
      <c r="E11">
        <v>6188.72</v>
      </c>
    </row>
    <row r="12" spans="1:5">
      <c r="A12">
        <v>74</v>
      </c>
      <c r="B12" s="3">
        <f t="shared" si="0"/>
        <v>2837.6040000000003</v>
      </c>
      <c r="D12">
        <v>26931</v>
      </c>
      <c r="E12">
        <v>14325.98</v>
      </c>
    </row>
    <row r="13" spans="1:5">
      <c r="A13">
        <v>27</v>
      </c>
      <c r="B13" s="3">
        <f t="shared" si="0"/>
        <v>1035.3419999999999</v>
      </c>
      <c r="D13">
        <v>3068</v>
      </c>
      <c r="E13">
        <v>1632.03</v>
      </c>
    </row>
    <row r="14" spans="1:5">
      <c r="A14">
        <v>3</v>
      </c>
      <c r="B14" s="3">
        <f t="shared" si="0"/>
        <v>115.03800000000001</v>
      </c>
      <c r="D14">
        <v>2162</v>
      </c>
      <c r="E14">
        <v>1150.08</v>
      </c>
    </row>
    <row r="15" spans="1:5">
      <c r="A15">
        <v>96</v>
      </c>
      <c r="B15" s="3">
        <f t="shared" si="0"/>
        <v>3681.2160000000003</v>
      </c>
      <c r="D15">
        <v>17042</v>
      </c>
      <c r="E15">
        <v>9065.52</v>
      </c>
    </row>
    <row r="16" spans="1:5">
      <c r="A16">
        <v>48</v>
      </c>
      <c r="B16" s="3">
        <f t="shared" si="0"/>
        <v>1840.6080000000002</v>
      </c>
      <c r="D16">
        <v>6932</v>
      </c>
      <c r="E16">
        <v>3687.49</v>
      </c>
    </row>
    <row r="17" spans="1:8">
      <c r="A17">
        <v>68</v>
      </c>
      <c r="B17" s="3">
        <f t="shared" si="0"/>
        <v>2607.5280000000002</v>
      </c>
      <c r="D17">
        <v>12014</v>
      </c>
      <c r="E17">
        <v>6390.86</v>
      </c>
      <c r="H17" s="19"/>
    </row>
    <row r="18" spans="1:8">
      <c r="A18">
        <v>0</v>
      </c>
      <c r="B18" s="3">
        <f t="shared" si="0"/>
        <v>0</v>
      </c>
      <c r="D18">
        <v>1059</v>
      </c>
      <c r="E18">
        <v>563.34</v>
      </c>
      <c r="H18" s="19"/>
    </row>
    <row r="19" spans="1:8">
      <c r="A19">
        <v>10</v>
      </c>
      <c r="B19" s="3">
        <f t="shared" si="0"/>
        <v>383.46000000000004</v>
      </c>
      <c r="D19">
        <v>3089</v>
      </c>
      <c r="E19">
        <v>1643.2</v>
      </c>
      <c r="H19" s="19"/>
    </row>
    <row r="20" spans="1:8">
      <c r="A20">
        <v>53</v>
      </c>
      <c r="B20" s="3">
        <f t="shared" si="0"/>
        <v>2032.338</v>
      </c>
      <c r="D20">
        <v>7932</v>
      </c>
      <c r="E20">
        <v>4219.4399999999996</v>
      </c>
      <c r="H20" s="19"/>
    </row>
    <row r="21" spans="1:8">
      <c r="A21">
        <v>0</v>
      </c>
      <c r="B21" s="3">
        <f t="shared" si="0"/>
        <v>0</v>
      </c>
      <c r="D21">
        <v>5222</v>
      </c>
      <c r="E21">
        <v>2777.85</v>
      </c>
      <c r="H21" s="19"/>
    </row>
    <row r="22" spans="1:8">
      <c r="A22">
        <v>1</v>
      </c>
      <c r="B22" s="3">
        <f t="shared" si="0"/>
        <v>38.346000000000004</v>
      </c>
      <c r="D22">
        <v>2989</v>
      </c>
      <c r="E22">
        <v>1590</v>
      </c>
      <c r="H22" s="19"/>
    </row>
    <row r="23" spans="1:8">
      <c r="A23">
        <v>2</v>
      </c>
      <c r="B23" s="3">
        <f t="shared" si="0"/>
        <v>76.692000000000007</v>
      </c>
      <c r="D23">
        <v>2259</v>
      </c>
      <c r="E23">
        <v>1201.68</v>
      </c>
      <c r="H23" s="19"/>
    </row>
    <row r="24" spans="1:8">
      <c r="A24">
        <v>96</v>
      </c>
      <c r="B24" s="3">
        <f t="shared" si="0"/>
        <v>3681.2160000000003</v>
      </c>
      <c r="D24">
        <v>9335</v>
      </c>
      <c r="E24">
        <v>4965.7700000000004</v>
      </c>
      <c r="H24" s="19"/>
    </row>
    <row r="25" spans="1:8">
      <c r="A25">
        <v>11</v>
      </c>
      <c r="B25" s="3">
        <f t="shared" si="0"/>
        <v>421.80599999999998</v>
      </c>
      <c r="D25">
        <v>5635</v>
      </c>
      <c r="E25">
        <v>2997.55</v>
      </c>
      <c r="H25" s="19"/>
    </row>
    <row r="26" spans="1:8">
      <c r="A26">
        <v>60</v>
      </c>
      <c r="B26" s="3">
        <f t="shared" si="0"/>
        <v>2300.7599999999998</v>
      </c>
      <c r="D26">
        <v>19805</v>
      </c>
      <c r="E26">
        <v>10535.3</v>
      </c>
      <c r="H26" s="19"/>
    </row>
    <row r="27" spans="1:8">
      <c r="A27">
        <v>19</v>
      </c>
      <c r="B27" s="3">
        <f t="shared" si="0"/>
        <v>728.57399999999996</v>
      </c>
      <c r="D27">
        <v>8157</v>
      </c>
      <c r="E27">
        <v>4339.13</v>
      </c>
      <c r="H27" s="19"/>
    </row>
    <row r="28" spans="1:8">
      <c r="A28">
        <v>9</v>
      </c>
      <c r="B28" s="3">
        <f t="shared" si="0"/>
        <v>345.11400000000003</v>
      </c>
      <c r="D28">
        <v>8254</v>
      </c>
      <c r="E28">
        <v>4390.7299999999996</v>
      </c>
      <c r="H28" s="19"/>
    </row>
    <row r="29" spans="1:8">
      <c r="A29">
        <v>80</v>
      </c>
      <c r="B29" s="3">
        <f t="shared" si="0"/>
        <v>3067.6800000000003</v>
      </c>
      <c r="D29">
        <v>6926</v>
      </c>
      <c r="E29">
        <v>3684.3</v>
      </c>
    </row>
    <row r="30" spans="1:8">
      <c r="A30">
        <v>15</v>
      </c>
      <c r="B30" s="3">
        <f t="shared" si="0"/>
        <v>575.18999999999994</v>
      </c>
      <c r="D30">
        <v>19007</v>
      </c>
      <c r="E30">
        <v>10110.799999999999</v>
      </c>
      <c r="H30" s="19"/>
    </row>
    <row r="31" spans="1:8">
      <c r="A31">
        <v>6</v>
      </c>
      <c r="B31" s="3">
        <f t="shared" si="0"/>
        <v>230.07600000000002</v>
      </c>
      <c r="D31">
        <v>4502</v>
      </c>
      <c r="E31">
        <v>2394.85</v>
      </c>
    </row>
    <row r="32" spans="1:8">
      <c r="A32">
        <v>102</v>
      </c>
      <c r="B32" s="3">
        <f t="shared" si="0"/>
        <v>3911.2919999999999</v>
      </c>
      <c r="D32">
        <v>16808</v>
      </c>
      <c r="E32">
        <v>8941.0400000000009</v>
      </c>
    </row>
    <row r="33" spans="1:5">
      <c r="A33">
        <v>0</v>
      </c>
      <c r="B33" s="3">
        <f t="shared" si="0"/>
        <v>0</v>
      </c>
      <c r="D33">
        <v>2665</v>
      </c>
      <c r="E33">
        <v>1417.65</v>
      </c>
    </row>
    <row r="34" spans="1:5">
      <c r="A34">
        <v>112</v>
      </c>
      <c r="B34" s="3">
        <f t="shared" si="0"/>
        <v>4294.7520000000004</v>
      </c>
      <c r="D34">
        <v>15116</v>
      </c>
      <c r="E34">
        <v>8040.98</v>
      </c>
    </row>
    <row r="35" spans="1:5">
      <c r="A35">
        <v>53</v>
      </c>
      <c r="B35" s="3">
        <f t="shared" si="0"/>
        <v>2032.338</v>
      </c>
      <c r="D35">
        <v>12749</v>
      </c>
      <c r="E35">
        <v>6781.85</v>
      </c>
    </row>
    <row r="36" spans="1:5">
      <c r="A36">
        <v>21</v>
      </c>
      <c r="B36" s="3">
        <f t="shared" si="0"/>
        <v>805.26600000000008</v>
      </c>
      <c r="D36">
        <v>15759</v>
      </c>
      <c r="E36">
        <v>8383.02</v>
      </c>
    </row>
    <row r="37" spans="1:5">
      <c r="A37">
        <v>29</v>
      </c>
      <c r="B37" s="3">
        <f t="shared" si="0"/>
        <v>1112.0340000000001</v>
      </c>
      <c r="D37">
        <v>1275</v>
      </c>
      <c r="E37">
        <v>678.24</v>
      </c>
    </row>
    <row r="38" spans="1:5">
      <c r="A38">
        <v>47</v>
      </c>
      <c r="B38" s="3">
        <f t="shared" si="0"/>
        <v>1802.2620000000002</v>
      </c>
      <c r="D38">
        <v>8312</v>
      </c>
      <c r="E38">
        <v>4421.58</v>
      </c>
    </row>
    <row r="39" spans="1:5">
      <c r="A39">
        <v>37</v>
      </c>
      <c r="B39" s="3">
        <f t="shared" si="0"/>
        <v>1418.8020000000001</v>
      </c>
      <c r="D39">
        <v>5037</v>
      </c>
      <c r="E39">
        <v>2679.44</v>
      </c>
    </row>
    <row r="40" spans="1:5">
      <c r="A40">
        <v>0</v>
      </c>
      <c r="B40" s="3">
        <f t="shared" si="0"/>
        <v>0</v>
      </c>
      <c r="D40">
        <v>0</v>
      </c>
      <c r="E40">
        <v>0</v>
      </c>
    </row>
    <row r="41" spans="1:5">
      <c r="A41">
        <v>8</v>
      </c>
      <c r="B41" s="3">
        <f t="shared" si="0"/>
        <v>306.76800000000003</v>
      </c>
      <c r="D41">
        <v>5475</v>
      </c>
      <c r="E41">
        <v>2912.43</v>
      </c>
    </row>
    <row r="42" spans="1:5">
      <c r="A42">
        <v>12</v>
      </c>
      <c r="B42" s="3">
        <f t="shared" si="0"/>
        <v>460.15200000000004</v>
      </c>
      <c r="D42">
        <v>5658</v>
      </c>
      <c r="E42">
        <v>3009.78</v>
      </c>
    </row>
    <row r="43" spans="1:5">
      <c r="A43">
        <v>12</v>
      </c>
      <c r="B43" s="3">
        <f t="shared" si="0"/>
        <v>460.15200000000004</v>
      </c>
      <c r="D43">
        <v>3970</v>
      </c>
      <c r="E43">
        <v>2111.85</v>
      </c>
    </row>
    <row r="44" spans="1:5">
      <c r="A44">
        <v>90</v>
      </c>
      <c r="B44" s="3">
        <f t="shared" si="0"/>
        <v>3451.1400000000003</v>
      </c>
      <c r="D44">
        <v>11969</v>
      </c>
      <c r="E44">
        <v>6366.93</v>
      </c>
    </row>
    <row r="45" spans="1:5">
      <c r="A45">
        <v>69</v>
      </c>
      <c r="B45" s="3">
        <f t="shared" si="0"/>
        <v>2645.8739999999998</v>
      </c>
      <c r="D45">
        <v>19458</v>
      </c>
      <c r="E45">
        <v>10350.709999999999</v>
      </c>
    </row>
    <row r="46" spans="1:5">
      <c r="A46">
        <v>28</v>
      </c>
      <c r="B46" s="3">
        <f t="shared" si="0"/>
        <v>1073.6880000000001</v>
      </c>
      <c r="D46">
        <v>11593</v>
      </c>
      <c r="E46">
        <v>6166.91</v>
      </c>
    </row>
    <row r="47" spans="1:5">
      <c r="B47" s="3"/>
    </row>
    <row r="48" spans="1:5">
      <c r="A48">
        <f>SUM(A2:A47)</f>
        <v>1652</v>
      </c>
      <c r="B48" s="3">
        <f>SUM(B2:B47)</f>
        <v>63347.592000000026</v>
      </c>
      <c r="D48">
        <f t="shared" ref="D48:E48" si="1">SUM(D2:D47)</f>
        <v>365340</v>
      </c>
      <c r="E48">
        <f t="shared" si="1"/>
        <v>194343.16999999998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16" workbookViewId="0">
      <selection activeCell="E3" sqref="E3"/>
    </sheetView>
  </sheetViews>
  <sheetFormatPr defaultRowHeight="15"/>
  <cols>
    <col min="1" max="1" width="22.42578125" bestFit="1" customWidth="1"/>
    <col min="2" max="2" width="16.42578125" bestFit="1" customWidth="1"/>
    <col min="3" max="3" width="11.140625" bestFit="1" customWidth="1"/>
    <col min="4" max="5" width="13.85546875" bestFit="1" customWidth="1"/>
    <col min="6" max="6" width="14.42578125" bestFit="1" customWidth="1"/>
    <col min="7" max="7" width="16.42578125" customWidth="1"/>
    <col min="8" max="8" width="14.42578125" bestFit="1" customWidth="1"/>
    <col min="9" max="10" width="11.5703125" bestFit="1" customWidth="1"/>
  </cols>
  <sheetData>
    <row r="1" spans="1:13" ht="15.75" thickBot="1">
      <c r="A1" s="36" t="s">
        <v>322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8"/>
    </row>
    <row r="2" spans="1:13" ht="77.25" thickBot="1">
      <c r="A2" s="21" t="s">
        <v>323</v>
      </c>
      <c r="B2" s="21" t="s">
        <v>324</v>
      </c>
      <c r="C2" s="21" t="s">
        <v>325</v>
      </c>
      <c r="D2" s="22" t="s">
        <v>261</v>
      </c>
      <c r="E2" s="22" t="s">
        <v>262</v>
      </c>
      <c r="F2" s="22" t="s">
        <v>263</v>
      </c>
      <c r="G2" s="22" t="s">
        <v>264</v>
      </c>
      <c r="H2" s="22" t="s">
        <v>129</v>
      </c>
      <c r="I2" s="22" t="s">
        <v>130</v>
      </c>
      <c r="J2" s="22" t="s">
        <v>265</v>
      </c>
      <c r="K2" s="20"/>
      <c r="L2" s="20"/>
      <c r="M2" s="20"/>
    </row>
    <row r="3" spans="1:13">
      <c r="A3" s="23" t="s">
        <v>326</v>
      </c>
      <c r="B3" s="24">
        <v>7</v>
      </c>
      <c r="C3" s="24">
        <v>5168</v>
      </c>
      <c r="D3" s="24">
        <v>284.98</v>
      </c>
      <c r="E3" s="24">
        <v>143.29</v>
      </c>
      <c r="F3" s="24">
        <v>292.43</v>
      </c>
      <c r="G3" s="24">
        <v>-17.87</v>
      </c>
      <c r="H3" s="24">
        <v>577.41</v>
      </c>
      <c r="I3" s="24">
        <v>125.42</v>
      </c>
      <c r="J3" s="25">
        <v>702.83</v>
      </c>
      <c r="K3" s="20"/>
      <c r="L3" s="20"/>
      <c r="M3" s="20"/>
    </row>
    <row r="4" spans="1:13" ht="25.5">
      <c r="A4" s="26" t="s">
        <v>327</v>
      </c>
      <c r="B4" s="27">
        <v>6</v>
      </c>
      <c r="C4" s="27">
        <v>9654</v>
      </c>
      <c r="D4" s="27">
        <v>532.36</v>
      </c>
      <c r="E4" s="27">
        <v>91.55</v>
      </c>
      <c r="F4" s="27">
        <v>202.95</v>
      </c>
      <c r="G4" s="27">
        <v>-14.84</v>
      </c>
      <c r="H4" s="27">
        <v>735.3</v>
      </c>
      <c r="I4" s="27">
        <v>76.709999999999994</v>
      </c>
      <c r="J4" s="28">
        <v>812.01</v>
      </c>
      <c r="K4" s="20"/>
      <c r="L4" s="20"/>
      <c r="M4" s="20"/>
    </row>
    <row r="5" spans="1:13">
      <c r="A5" s="23" t="s">
        <v>328</v>
      </c>
      <c r="B5" s="24">
        <v>6</v>
      </c>
      <c r="C5" s="24">
        <v>3442</v>
      </c>
      <c r="D5" s="24">
        <v>189.8</v>
      </c>
      <c r="E5" s="24">
        <v>119.41</v>
      </c>
      <c r="F5" s="24">
        <v>238.5</v>
      </c>
      <c r="G5" s="24">
        <v>-14.78</v>
      </c>
      <c r="H5" s="24">
        <v>428.3</v>
      </c>
      <c r="I5" s="24">
        <v>104.63</v>
      </c>
      <c r="J5" s="25">
        <v>532.92999999999995</v>
      </c>
      <c r="K5" s="20"/>
      <c r="L5" s="20"/>
      <c r="M5" s="20"/>
    </row>
    <row r="6" spans="1:13">
      <c r="A6" s="26" t="s">
        <v>329</v>
      </c>
      <c r="B6" s="27">
        <v>6</v>
      </c>
      <c r="C6" s="27">
        <v>4461</v>
      </c>
      <c r="D6" s="27">
        <v>246</v>
      </c>
      <c r="E6" s="27">
        <v>226.88</v>
      </c>
      <c r="F6" s="27">
        <v>225.23</v>
      </c>
      <c r="G6" s="27">
        <v>-14.82</v>
      </c>
      <c r="H6" s="27">
        <v>471.22</v>
      </c>
      <c r="I6" s="27">
        <v>212.06</v>
      </c>
      <c r="J6" s="28">
        <v>683.28</v>
      </c>
      <c r="K6" s="20"/>
      <c r="L6" s="20"/>
      <c r="M6" s="20"/>
    </row>
    <row r="7" spans="1:13">
      <c r="A7" s="23" t="s">
        <v>330</v>
      </c>
      <c r="B7" s="24">
        <v>6</v>
      </c>
      <c r="C7" s="24">
        <v>6598</v>
      </c>
      <c r="D7" s="24">
        <v>363.84</v>
      </c>
      <c r="E7" s="24">
        <v>195.04</v>
      </c>
      <c r="F7" s="24">
        <v>207.82</v>
      </c>
      <c r="G7" s="24">
        <v>-14.84</v>
      </c>
      <c r="H7" s="24">
        <v>571.66</v>
      </c>
      <c r="I7" s="24">
        <v>180.2</v>
      </c>
      <c r="J7" s="25">
        <v>751.86</v>
      </c>
      <c r="K7" s="20"/>
      <c r="L7" s="20"/>
      <c r="M7" s="20"/>
    </row>
    <row r="8" spans="1:13">
      <c r="A8" s="26" t="s">
        <v>331</v>
      </c>
      <c r="B8" s="27">
        <v>7</v>
      </c>
      <c r="C8" s="27">
        <v>5259</v>
      </c>
      <c r="D8" s="27">
        <v>290</v>
      </c>
      <c r="E8" s="27">
        <v>195.04</v>
      </c>
      <c r="F8" s="27">
        <v>282.08</v>
      </c>
      <c r="G8" s="27">
        <v>-17.940000000000001</v>
      </c>
      <c r="H8" s="27">
        <v>572.08000000000004</v>
      </c>
      <c r="I8" s="27">
        <v>177.1</v>
      </c>
      <c r="J8" s="28">
        <v>749.18</v>
      </c>
      <c r="K8" s="20"/>
      <c r="L8" s="20"/>
      <c r="M8" s="20"/>
    </row>
    <row r="9" spans="1:13">
      <c r="A9" s="23" t="s">
        <v>332</v>
      </c>
      <c r="B9" s="24">
        <v>5</v>
      </c>
      <c r="C9" s="24">
        <v>1040</v>
      </c>
      <c r="D9" s="24">
        <v>57.35</v>
      </c>
      <c r="E9" s="24">
        <v>0</v>
      </c>
      <c r="F9" s="24">
        <v>247.26</v>
      </c>
      <c r="G9" s="24">
        <v>-1.43</v>
      </c>
      <c r="H9" s="24">
        <v>304.61</v>
      </c>
      <c r="I9" s="24">
        <v>-1.43</v>
      </c>
      <c r="J9" s="25">
        <v>303.18</v>
      </c>
      <c r="K9" s="20"/>
      <c r="L9" s="20"/>
      <c r="M9" s="20"/>
    </row>
    <row r="10" spans="1:13">
      <c r="A10" s="26" t="s">
        <v>333</v>
      </c>
      <c r="B10" s="27">
        <v>6</v>
      </c>
      <c r="C10" s="27">
        <v>3083</v>
      </c>
      <c r="D10" s="27">
        <v>170.01</v>
      </c>
      <c r="E10" s="27">
        <v>163.19999999999999</v>
      </c>
      <c r="F10" s="27">
        <v>204.53</v>
      </c>
      <c r="G10" s="27">
        <v>-14.77</v>
      </c>
      <c r="H10" s="27">
        <v>374.54</v>
      </c>
      <c r="I10" s="27">
        <v>148.43</v>
      </c>
      <c r="J10" s="28">
        <v>522.97</v>
      </c>
      <c r="K10" s="20"/>
      <c r="L10" s="20"/>
      <c r="M10" s="20"/>
    </row>
    <row r="11" spans="1:13">
      <c r="A11" s="23" t="s">
        <v>334</v>
      </c>
      <c r="B11" s="24">
        <v>7</v>
      </c>
      <c r="C11" s="24">
        <v>6837</v>
      </c>
      <c r="D11" s="24">
        <v>377.02</v>
      </c>
      <c r="E11" s="24">
        <v>222.9</v>
      </c>
      <c r="F11" s="24">
        <v>351.48</v>
      </c>
      <c r="G11" s="24">
        <v>-17.489999999999998</v>
      </c>
      <c r="H11" s="24">
        <v>728.49</v>
      </c>
      <c r="I11" s="24">
        <v>205.41</v>
      </c>
      <c r="J11" s="25">
        <v>933.9</v>
      </c>
      <c r="K11" s="20"/>
      <c r="L11" s="20"/>
      <c r="M11" s="20"/>
    </row>
    <row r="12" spans="1:13">
      <c r="A12" s="26" t="s">
        <v>335</v>
      </c>
      <c r="B12" s="27">
        <v>7</v>
      </c>
      <c r="C12" s="27">
        <v>11634</v>
      </c>
      <c r="D12" s="27">
        <v>641.54</v>
      </c>
      <c r="E12" s="27">
        <v>51.75</v>
      </c>
      <c r="F12" s="27">
        <v>248.12</v>
      </c>
      <c r="G12" s="27">
        <v>-17.75</v>
      </c>
      <c r="H12" s="27">
        <v>889.66</v>
      </c>
      <c r="I12" s="27">
        <v>34</v>
      </c>
      <c r="J12" s="28">
        <v>923.66</v>
      </c>
      <c r="K12" s="20"/>
      <c r="L12" s="20"/>
      <c r="M12" s="20"/>
    </row>
    <row r="13" spans="1:13" ht="25.5">
      <c r="A13" s="23" t="s">
        <v>336</v>
      </c>
      <c r="B13" s="24">
        <v>6</v>
      </c>
      <c r="C13" s="24">
        <v>26931</v>
      </c>
      <c r="D13" s="29">
        <v>1485.07</v>
      </c>
      <c r="E13" s="24">
        <v>294.55</v>
      </c>
      <c r="F13" s="24">
        <v>206.48</v>
      </c>
      <c r="G13" s="24">
        <v>-14.8</v>
      </c>
      <c r="H13" s="29">
        <v>1691.55</v>
      </c>
      <c r="I13" s="24">
        <v>279.75</v>
      </c>
      <c r="J13" s="30">
        <v>1971.3</v>
      </c>
      <c r="K13" s="20"/>
      <c r="L13" s="20"/>
      <c r="M13" s="20"/>
    </row>
    <row r="14" spans="1:13">
      <c r="A14" s="26" t="s">
        <v>337</v>
      </c>
      <c r="B14" s="27">
        <v>7</v>
      </c>
      <c r="C14" s="27">
        <v>3068</v>
      </c>
      <c r="D14" s="27">
        <v>169.18</v>
      </c>
      <c r="E14" s="27">
        <v>107.47</v>
      </c>
      <c r="F14" s="27">
        <v>229.61</v>
      </c>
      <c r="G14" s="27">
        <v>-17.91</v>
      </c>
      <c r="H14" s="27">
        <v>398.79</v>
      </c>
      <c r="I14" s="27">
        <v>89.56</v>
      </c>
      <c r="J14" s="28">
        <v>488.35</v>
      </c>
      <c r="K14" s="20"/>
      <c r="L14" s="20"/>
      <c r="M14" s="20"/>
    </row>
    <row r="15" spans="1:13">
      <c r="A15" s="23" t="s">
        <v>338</v>
      </c>
      <c r="B15" s="24">
        <v>6</v>
      </c>
      <c r="C15" s="24">
        <v>2162</v>
      </c>
      <c r="D15" s="24">
        <v>119.22</v>
      </c>
      <c r="E15" s="24">
        <v>11.94</v>
      </c>
      <c r="F15" s="24">
        <v>271.13</v>
      </c>
      <c r="G15" s="24">
        <v>-14.77</v>
      </c>
      <c r="H15" s="24">
        <v>390.35</v>
      </c>
      <c r="I15" s="24">
        <v>-2.83</v>
      </c>
      <c r="J15" s="25">
        <v>387.52</v>
      </c>
      <c r="K15" s="20"/>
      <c r="L15" s="20"/>
      <c r="M15" s="20"/>
    </row>
    <row r="16" spans="1:13">
      <c r="A16" s="26" t="s">
        <v>339</v>
      </c>
      <c r="B16" s="27">
        <v>7</v>
      </c>
      <c r="C16" s="27">
        <v>17042</v>
      </c>
      <c r="D16" s="27">
        <v>939.76</v>
      </c>
      <c r="E16" s="27">
        <v>382.12</v>
      </c>
      <c r="F16" s="27">
        <v>255.3</v>
      </c>
      <c r="G16" s="27">
        <v>-17.73</v>
      </c>
      <c r="H16" s="31">
        <v>1195.06</v>
      </c>
      <c r="I16" s="27">
        <v>364.39</v>
      </c>
      <c r="J16" s="32">
        <v>1559.45</v>
      </c>
      <c r="K16" s="20"/>
      <c r="L16" s="20"/>
      <c r="M16" s="20"/>
    </row>
    <row r="17" spans="1:13">
      <c r="A17" s="23" t="s">
        <v>340</v>
      </c>
      <c r="B17" s="24">
        <v>6</v>
      </c>
      <c r="C17" s="24">
        <v>6932</v>
      </c>
      <c r="D17" s="24">
        <v>382.26</v>
      </c>
      <c r="E17" s="24">
        <v>191.06</v>
      </c>
      <c r="F17" s="24">
        <v>260.52999999999997</v>
      </c>
      <c r="G17" s="24">
        <v>-14.83</v>
      </c>
      <c r="H17" s="24">
        <v>642.79</v>
      </c>
      <c r="I17" s="24">
        <v>176.23</v>
      </c>
      <c r="J17" s="25">
        <v>819.02</v>
      </c>
      <c r="K17" s="20"/>
      <c r="L17" s="20"/>
      <c r="M17" s="20"/>
    </row>
    <row r="18" spans="1:13">
      <c r="A18" s="26" t="s">
        <v>341</v>
      </c>
      <c r="B18" s="27">
        <v>6</v>
      </c>
      <c r="C18" s="27">
        <v>12014</v>
      </c>
      <c r="D18" s="27">
        <v>662.49</v>
      </c>
      <c r="E18" s="27">
        <v>270.67</v>
      </c>
      <c r="F18" s="27">
        <v>224.74</v>
      </c>
      <c r="G18" s="27">
        <v>-14.95</v>
      </c>
      <c r="H18" s="27">
        <v>887.24</v>
      </c>
      <c r="I18" s="27">
        <v>255.72</v>
      </c>
      <c r="J18" s="32">
        <v>1142.96</v>
      </c>
      <c r="K18" s="20"/>
      <c r="L18" s="20"/>
      <c r="M18" s="20"/>
    </row>
    <row r="19" spans="1:13">
      <c r="A19" s="23" t="s">
        <v>342</v>
      </c>
      <c r="B19" s="24">
        <v>7</v>
      </c>
      <c r="C19" s="24">
        <v>1059</v>
      </c>
      <c r="D19" s="24">
        <v>58.4</v>
      </c>
      <c r="E19" s="24">
        <v>0</v>
      </c>
      <c r="F19" s="24">
        <v>254.57</v>
      </c>
      <c r="G19" s="24">
        <v>-17.510000000000002</v>
      </c>
      <c r="H19" s="24">
        <v>312.97000000000003</v>
      </c>
      <c r="I19" s="24">
        <v>-17.510000000000002</v>
      </c>
      <c r="J19" s="25">
        <v>295.45999999999998</v>
      </c>
      <c r="K19" s="20"/>
      <c r="L19" s="20"/>
      <c r="M19" s="20"/>
    </row>
    <row r="20" spans="1:13" ht="25.5">
      <c r="A20" s="26" t="s">
        <v>343</v>
      </c>
      <c r="B20" s="27">
        <v>6</v>
      </c>
      <c r="C20" s="27">
        <v>3089</v>
      </c>
      <c r="D20" s="27">
        <v>170.34</v>
      </c>
      <c r="E20" s="27">
        <v>39.799999999999997</v>
      </c>
      <c r="F20" s="27">
        <v>258.22000000000003</v>
      </c>
      <c r="G20" s="27">
        <v>-14.83</v>
      </c>
      <c r="H20" s="27">
        <v>428.56</v>
      </c>
      <c r="I20" s="27">
        <v>24.97</v>
      </c>
      <c r="J20" s="28">
        <v>453.53</v>
      </c>
      <c r="K20" s="20"/>
      <c r="L20" s="20"/>
      <c r="M20" s="20"/>
    </row>
    <row r="21" spans="1:13">
      <c r="A21" s="23" t="s">
        <v>344</v>
      </c>
      <c r="B21" s="24">
        <v>7</v>
      </c>
      <c r="C21" s="24">
        <v>7932</v>
      </c>
      <c r="D21" s="24">
        <v>437.4</v>
      </c>
      <c r="E21" s="24">
        <v>210.96</v>
      </c>
      <c r="F21" s="24">
        <v>276.48</v>
      </c>
      <c r="G21" s="24">
        <v>-17.510000000000002</v>
      </c>
      <c r="H21" s="24">
        <v>713.88</v>
      </c>
      <c r="I21" s="24">
        <v>193.45</v>
      </c>
      <c r="J21" s="25">
        <v>907.33</v>
      </c>
      <c r="K21" s="20"/>
      <c r="L21" s="20"/>
      <c r="M21" s="20"/>
    </row>
    <row r="22" spans="1:13" ht="25.5">
      <c r="A22" s="26" t="s">
        <v>345</v>
      </c>
      <c r="B22" s="27">
        <v>5</v>
      </c>
      <c r="C22" s="27">
        <v>5222</v>
      </c>
      <c r="D22" s="27">
        <v>287.95999999999998</v>
      </c>
      <c r="E22" s="27">
        <v>0</v>
      </c>
      <c r="F22" s="27">
        <v>258.10000000000002</v>
      </c>
      <c r="G22" s="27">
        <v>-16.78</v>
      </c>
      <c r="H22" s="27">
        <v>546.05999999999995</v>
      </c>
      <c r="I22" s="27">
        <v>-16.78</v>
      </c>
      <c r="J22" s="28">
        <v>529.28</v>
      </c>
      <c r="K22" s="20"/>
      <c r="L22" s="20"/>
      <c r="M22" s="20"/>
    </row>
    <row r="23" spans="1:13">
      <c r="A23" s="23" t="s">
        <v>346</v>
      </c>
      <c r="B23" s="24">
        <v>6</v>
      </c>
      <c r="C23" s="24">
        <v>2989</v>
      </c>
      <c r="D23" s="24">
        <v>164.82</v>
      </c>
      <c r="E23" s="24">
        <v>3.98</v>
      </c>
      <c r="F23" s="24">
        <v>210.13</v>
      </c>
      <c r="G23" s="24">
        <v>-14.81</v>
      </c>
      <c r="H23" s="24">
        <v>374.96</v>
      </c>
      <c r="I23" s="24">
        <v>-10.83</v>
      </c>
      <c r="J23" s="25">
        <v>364.13</v>
      </c>
      <c r="K23" s="20"/>
      <c r="L23" s="20"/>
      <c r="M23" s="20"/>
    </row>
    <row r="24" spans="1:13">
      <c r="A24" s="26" t="s">
        <v>347</v>
      </c>
      <c r="B24" s="27">
        <v>5</v>
      </c>
      <c r="C24" s="27">
        <v>2259</v>
      </c>
      <c r="D24" s="27">
        <v>124.57</v>
      </c>
      <c r="E24" s="27">
        <v>7.96</v>
      </c>
      <c r="F24" s="27">
        <v>229.49</v>
      </c>
      <c r="G24" s="27">
        <v>-14.95</v>
      </c>
      <c r="H24" s="27">
        <v>354.06</v>
      </c>
      <c r="I24" s="27">
        <v>-6.99</v>
      </c>
      <c r="J24" s="28">
        <v>347.07</v>
      </c>
      <c r="K24" s="20"/>
      <c r="L24" s="20"/>
      <c r="M24" s="20"/>
    </row>
    <row r="25" spans="1:13">
      <c r="A25" s="23" t="s">
        <v>348</v>
      </c>
      <c r="B25" s="24">
        <v>7</v>
      </c>
      <c r="C25" s="24">
        <v>9335</v>
      </c>
      <c r="D25" s="24">
        <v>514.77</v>
      </c>
      <c r="E25" s="24">
        <v>382.12</v>
      </c>
      <c r="F25" s="24">
        <v>231.8</v>
      </c>
      <c r="G25" s="24">
        <v>-17.82</v>
      </c>
      <c r="H25" s="24">
        <v>746.57</v>
      </c>
      <c r="I25" s="24">
        <v>364.3</v>
      </c>
      <c r="J25" s="30">
        <v>1110.8699999999999</v>
      </c>
      <c r="K25" s="20"/>
      <c r="L25" s="20"/>
      <c r="M25" s="20"/>
    </row>
    <row r="26" spans="1:13">
      <c r="A26" s="26" t="s">
        <v>349</v>
      </c>
      <c r="B26" s="27">
        <v>6</v>
      </c>
      <c r="C26" s="27">
        <v>5635</v>
      </c>
      <c r="D26" s="27">
        <v>310.73</v>
      </c>
      <c r="E26" s="27">
        <v>43.78</v>
      </c>
      <c r="F26" s="27">
        <v>219.63</v>
      </c>
      <c r="G26" s="27">
        <v>-15.06</v>
      </c>
      <c r="H26" s="27">
        <v>530.36</v>
      </c>
      <c r="I26" s="27">
        <v>28.72</v>
      </c>
      <c r="J26" s="28">
        <v>559.08000000000004</v>
      </c>
      <c r="K26" s="20"/>
      <c r="L26" s="20"/>
      <c r="M26" s="20"/>
    </row>
    <row r="27" spans="1:13" ht="25.5">
      <c r="A27" s="23" t="s">
        <v>350</v>
      </c>
      <c r="B27" s="24">
        <v>6</v>
      </c>
      <c r="C27" s="24">
        <v>19805</v>
      </c>
      <c r="D27" s="29">
        <v>1092.1199999999999</v>
      </c>
      <c r="E27" s="24">
        <v>238.82</v>
      </c>
      <c r="F27" s="24">
        <v>0</v>
      </c>
      <c r="G27" s="24">
        <v>0</v>
      </c>
      <c r="H27" s="29">
        <v>1092.1199999999999</v>
      </c>
      <c r="I27" s="24">
        <v>238.82</v>
      </c>
      <c r="J27" s="30">
        <v>1330.94</v>
      </c>
      <c r="K27" s="20"/>
      <c r="L27" s="20"/>
      <c r="M27" s="20"/>
    </row>
    <row r="28" spans="1:13">
      <c r="A28" s="26" t="s">
        <v>351</v>
      </c>
      <c r="B28" s="27">
        <v>7</v>
      </c>
      <c r="C28" s="27">
        <v>8157</v>
      </c>
      <c r="D28" s="27">
        <v>449.81</v>
      </c>
      <c r="E28" s="27">
        <v>75.63</v>
      </c>
      <c r="F28" s="27">
        <v>236.55</v>
      </c>
      <c r="G28" s="27">
        <v>-17.55</v>
      </c>
      <c r="H28" s="27">
        <v>686.36</v>
      </c>
      <c r="I28" s="27">
        <v>58.08</v>
      </c>
      <c r="J28" s="28">
        <v>744.44</v>
      </c>
      <c r="K28" s="20"/>
      <c r="L28" s="20"/>
      <c r="M28" s="20"/>
    </row>
    <row r="29" spans="1:13" ht="25.5">
      <c r="A29" s="23" t="s">
        <v>352</v>
      </c>
      <c r="B29" s="24">
        <v>6</v>
      </c>
      <c r="C29" s="24">
        <v>8254</v>
      </c>
      <c r="D29" s="24">
        <v>455.15</v>
      </c>
      <c r="E29" s="24">
        <v>35.82</v>
      </c>
      <c r="F29" s="24">
        <v>243.12</v>
      </c>
      <c r="G29" s="24">
        <v>-14.95</v>
      </c>
      <c r="H29" s="24">
        <v>698.28</v>
      </c>
      <c r="I29" s="24">
        <v>20.87</v>
      </c>
      <c r="J29" s="25">
        <v>719.15</v>
      </c>
      <c r="K29" s="20"/>
      <c r="L29" s="20"/>
      <c r="M29" s="20"/>
    </row>
    <row r="30" spans="1:13">
      <c r="A30" s="26" t="s">
        <v>353</v>
      </c>
      <c r="B30" s="27">
        <v>6</v>
      </c>
      <c r="C30" s="27">
        <v>6926</v>
      </c>
      <c r="D30" s="27">
        <v>381.92</v>
      </c>
      <c r="E30" s="27">
        <v>318.43</v>
      </c>
      <c r="F30" s="27">
        <v>202.34</v>
      </c>
      <c r="G30" s="27">
        <v>-14.87</v>
      </c>
      <c r="H30" s="27">
        <v>584.26</v>
      </c>
      <c r="I30" s="27">
        <v>303.56</v>
      </c>
      <c r="J30" s="28">
        <v>887.82</v>
      </c>
      <c r="K30" s="20"/>
      <c r="L30" s="20"/>
      <c r="M30" s="20"/>
    </row>
    <row r="31" spans="1:13">
      <c r="A31" s="23" t="s">
        <v>354</v>
      </c>
      <c r="B31" s="24">
        <v>7</v>
      </c>
      <c r="C31" s="24">
        <v>19007</v>
      </c>
      <c r="D31" s="29">
        <v>1048.1099999999999</v>
      </c>
      <c r="E31" s="24">
        <v>59.71</v>
      </c>
      <c r="F31" s="24">
        <v>282.69</v>
      </c>
      <c r="G31" s="24">
        <v>-17.91</v>
      </c>
      <c r="H31" s="29">
        <v>1330.81</v>
      </c>
      <c r="I31" s="24">
        <v>41.8</v>
      </c>
      <c r="J31" s="30">
        <v>1372.61</v>
      </c>
      <c r="K31" s="20"/>
      <c r="L31" s="20"/>
      <c r="M31" s="20"/>
    </row>
    <row r="32" spans="1:13">
      <c r="A32" s="26" t="s">
        <v>355</v>
      </c>
      <c r="B32" s="27">
        <v>7</v>
      </c>
      <c r="C32" s="27">
        <v>4502</v>
      </c>
      <c r="D32" s="27">
        <v>248.26</v>
      </c>
      <c r="E32" s="27">
        <v>23.88</v>
      </c>
      <c r="F32" s="27">
        <v>0</v>
      </c>
      <c r="G32" s="27">
        <v>0</v>
      </c>
      <c r="H32" s="27">
        <v>248.26</v>
      </c>
      <c r="I32" s="27">
        <v>23.88</v>
      </c>
      <c r="J32" s="28">
        <v>272.14</v>
      </c>
      <c r="K32" s="20"/>
      <c r="L32" s="20"/>
      <c r="M32" s="20"/>
    </row>
    <row r="33" spans="1:13">
      <c r="A33" s="23" t="s">
        <v>356</v>
      </c>
      <c r="B33" s="24">
        <v>6</v>
      </c>
      <c r="C33" s="24">
        <v>16808</v>
      </c>
      <c r="D33" s="24">
        <v>926.85</v>
      </c>
      <c r="E33" s="24">
        <v>406</v>
      </c>
      <c r="F33" s="24">
        <v>290.48</v>
      </c>
      <c r="G33" s="24">
        <v>-15.32</v>
      </c>
      <c r="H33" s="29">
        <v>1217.3399999999999</v>
      </c>
      <c r="I33" s="24">
        <v>390.68</v>
      </c>
      <c r="J33" s="30">
        <v>1608.02</v>
      </c>
      <c r="K33" s="20"/>
      <c r="L33" s="20"/>
      <c r="M33" s="20"/>
    </row>
    <row r="34" spans="1:13">
      <c r="A34" s="26" t="s">
        <v>357</v>
      </c>
      <c r="B34" s="27">
        <v>6</v>
      </c>
      <c r="C34" s="27">
        <v>2665</v>
      </c>
      <c r="D34" s="27">
        <v>146.96</v>
      </c>
      <c r="E34" s="27">
        <v>0</v>
      </c>
      <c r="F34" s="27">
        <v>281.83999999999997</v>
      </c>
      <c r="G34" s="27">
        <v>-14.34</v>
      </c>
      <c r="H34" s="27">
        <v>428.8</v>
      </c>
      <c r="I34" s="27">
        <v>-14.34</v>
      </c>
      <c r="J34" s="28">
        <v>414.46</v>
      </c>
      <c r="K34" s="20"/>
      <c r="L34" s="20"/>
      <c r="M34" s="20"/>
    </row>
    <row r="35" spans="1:13" ht="25.5">
      <c r="A35" s="23" t="s">
        <v>358</v>
      </c>
      <c r="B35" s="24">
        <v>7</v>
      </c>
      <c r="C35" s="24">
        <v>15116</v>
      </c>
      <c r="D35" s="24">
        <v>833.55</v>
      </c>
      <c r="E35" s="24">
        <v>445.81</v>
      </c>
      <c r="F35" s="24">
        <v>363.77</v>
      </c>
      <c r="G35" s="24">
        <v>-17.440000000000001</v>
      </c>
      <c r="H35" s="29">
        <v>1197.32</v>
      </c>
      <c r="I35" s="24">
        <v>428.37</v>
      </c>
      <c r="J35" s="30">
        <v>1625.69</v>
      </c>
      <c r="K35" s="20"/>
      <c r="L35" s="20"/>
      <c r="M35" s="20"/>
    </row>
    <row r="36" spans="1:13" ht="25.5">
      <c r="A36" s="26" t="s">
        <v>359</v>
      </c>
      <c r="B36" s="27">
        <v>6</v>
      </c>
      <c r="C36" s="27">
        <v>12749</v>
      </c>
      <c r="D36" s="27">
        <v>703.03</v>
      </c>
      <c r="E36" s="27">
        <v>210.96</v>
      </c>
      <c r="F36" s="27">
        <v>212.81</v>
      </c>
      <c r="G36" s="27">
        <v>-15</v>
      </c>
      <c r="H36" s="27">
        <v>915.84</v>
      </c>
      <c r="I36" s="27">
        <v>195.96</v>
      </c>
      <c r="J36" s="32">
        <v>1111.8</v>
      </c>
      <c r="K36" s="20"/>
      <c r="L36" s="20"/>
      <c r="M36" s="20"/>
    </row>
    <row r="37" spans="1:13">
      <c r="A37" s="23" t="s">
        <v>360</v>
      </c>
      <c r="B37" s="24">
        <v>7</v>
      </c>
      <c r="C37" s="24">
        <v>15759</v>
      </c>
      <c r="D37" s="24">
        <v>869.01</v>
      </c>
      <c r="E37" s="24">
        <v>83.59</v>
      </c>
      <c r="F37" s="24">
        <v>258.22000000000003</v>
      </c>
      <c r="G37" s="24">
        <v>-17.53</v>
      </c>
      <c r="H37" s="29">
        <v>1127.23</v>
      </c>
      <c r="I37" s="24">
        <v>66.06</v>
      </c>
      <c r="J37" s="30">
        <v>1193.29</v>
      </c>
      <c r="K37" s="20"/>
      <c r="L37" s="20"/>
      <c r="M37" s="20"/>
    </row>
    <row r="38" spans="1:13">
      <c r="A38" s="26" t="s">
        <v>361</v>
      </c>
      <c r="B38" s="27">
        <v>7</v>
      </c>
      <c r="C38" s="27">
        <v>1275</v>
      </c>
      <c r="D38" s="27">
        <v>70.31</v>
      </c>
      <c r="E38" s="27">
        <v>115.43</v>
      </c>
      <c r="F38" s="27">
        <v>229.25</v>
      </c>
      <c r="G38" s="27">
        <v>-17.37</v>
      </c>
      <c r="H38" s="27">
        <v>299.55</v>
      </c>
      <c r="I38" s="27">
        <v>98.06</v>
      </c>
      <c r="J38" s="28">
        <v>397.61</v>
      </c>
      <c r="K38" s="20"/>
      <c r="L38" s="20"/>
      <c r="M38" s="20"/>
    </row>
    <row r="39" spans="1:13">
      <c r="A39" s="23" t="s">
        <v>362</v>
      </c>
      <c r="B39" s="24">
        <v>7</v>
      </c>
      <c r="C39" s="24">
        <v>8312</v>
      </c>
      <c r="D39" s="24">
        <v>458.35</v>
      </c>
      <c r="E39" s="24">
        <v>187.08</v>
      </c>
      <c r="F39" s="24">
        <v>247.87</v>
      </c>
      <c r="G39" s="24">
        <v>-17.53</v>
      </c>
      <c r="H39" s="24">
        <v>706.23</v>
      </c>
      <c r="I39" s="24">
        <v>169.55</v>
      </c>
      <c r="J39" s="25">
        <v>875.78</v>
      </c>
      <c r="K39" s="20"/>
      <c r="L39" s="20"/>
      <c r="M39" s="20"/>
    </row>
    <row r="40" spans="1:13">
      <c r="A40" s="26" t="s">
        <v>363</v>
      </c>
      <c r="B40" s="27">
        <v>5</v>
      </c>
      <c r="C40" s="27">
        <v>5037</v>
      </c>
      <c r="D40" s="27">
        <v>277.76</v>
      </c>
      <c r="E40" s="27">
        <v>147.28</v>
      </c>
      <c r="F40" s="27">
        <v>274.89999999999998</v>
      </c>
      <c r="G40" s="27">
        <v>-14.7</v>
      </c>
      <c r="H40" s="27">
        <v>552.66</v>
      </c>
      <c r="I40" s="27">
        <v>132.58000000000001</v>
      </c>
      <c r="J40" s="28">
        <v>685.24</v>
      </c>
      <c r="K40" s="20"/>
      <c r="L40" s="20"/>
      <c r="M40" s="20"/>
    </row>
    <row r="41" spans="1:13">
      <c r="A41" s="23" t="s">
        <v>364</v>
      </c>
      <c r="B41" s="24">
        <v>1</v>
      </c>
      <c r="C41" s="24">
        <v>0</v>
      </c>
      <c r="D41" s="24">
        <v>0</v>
      </c>
      <c r="E41" s="24">
        <v>0</v>
      </c>
      <c r="F41" s="29">
        <v>1091.93</v>
      </c>
      <c r="G41" s="24">
        <v>-7.72</v>
      </c>
      <c r="H41" s="29">
        <v>1091.93</v>
      </c>
      <c r="I41" s="24">
        <v>-7.72</v>
      </c>
      <c r="J41" s="30">
        <v>1084.21</v>
      </c>
      <c r="K41" s="20"/>
      <c r="L41" s="20"/>
      <c r="M41" s="20"/>
    </row>
    <row r="42" spans="1:13">
      <c r="A42" s="26" t="s">
        <v>365</v>
      </c>
      <c r="B42" s="27">
        <v>7</v>
      </c>
      <c r="C42" s="27">
        <v>5475</v>
      </c>
      <c r="D42" s="27">
        <v>301.91000000000003</v>
      </c>
      <c r="E42" s="27">
        <v>31.84</v>
      </c>
      <c r="F42" s="27">
        <v>275.63</v>
      </c>
      <c r="G42" s="27">
        <v>-17.850000000000001</v>
      </c>
      <c r="H42" s="27">
        <v>577.54</v>
      </c>
      <c r="I42" s="27">
        <v>13.99</v>
      </c>
      <c r="J42" s="28">
        <v>591.53</v>
      </c>
      <c r="K42" s="20"/>
      <c r="L42" s="20"/>
      <c r="M42" s="20"/>
    </row>
    <row r="43" spans="1:13">
      <c r="A43" s="23" t="s">
        <v>366</v>
      </c>
      <c r="B43" s="24">
        <v>7</v>
      </c>
      <c r="C43" s="24">
        <v>5658</v>
      </c>
      <c r="D43" s="24">
        <v>312</v>
      </c>
      <c r="E43" s="24">
        <v>47.76</v>
      </c>
      <c r="F43" s="24">
        <v>274.17</v>
      </c>
      <c r="G43" s="24">
        <v>-17.510000000000002</v>
      </c>
      <c r="H43" s="24">
        <v>586.16999999999996</v>
      </c>
      <c r="I43" s="24">
        <v>30.25</v>
      </c>
      <c r="J43" s="25">
        <v>616.41999999999996</v>
      </c>
      <c r="K43" s="20"/>
      <c r="L43" s="20"/>
      <c r="M43" s="20"/>
    </row>
    <row r="44" spans="1:13">
      <c r="A44" s="26" t="s">
        <v>367</v>
      </c>
      <c r="B44" s="27">
        <v>7</v>
      </c>
      <c r="C44" s="27">
        <v>3970</v>
      </c>
      <c r="D44" s="27">
        <v>218.92</v>
      </c>
      <c r="E44" s="27">
        <v>47.76</v>
      </c>
      <c r="F44" s="27">
        <v>226.08</v>
      </c>
      <c r="G44" s="27">
        <v>-17.829999999999998</v>
      </c>
      <c r="H44" s="27">
        <v>445</v>
      </c>
      <c r="I44" s="27">
        <v>29.93</v>
      </c>
      <c r="J44" s="28">
        <v>474.93</v>
      </c>
      <c r="K44" s="20"/>
      <c r="L44" s="20"/>
      <c r="M44" s="20"/>
    </row>
    <row r="45" spans="1:13">
      <c r="A45" s="23" t="s">
        <v>368</v>
      </c>
      <c r="B45" s="24">
        <v>7</v>
      </c>
      <c r="C45" s="24">
        <v>11969</v>
      </c>
      <c r="D45" s="24">
        <v>660.01</v>
      </c>
      <c r="E45" s="24">
        <v>358.24</v>
      </c>
      <c r="F45" s="24">
        <v>242.76</v>
      </c>
      <c r="G45" s="24">
        <v>-17.53</v>
      </c>
      <c r="H45" s="24">
        <v>902.77</v>
      </c>
      <c r="I45" s="24">
        <v>340.71</v>
      </c>
      <c r="J45" s="30">
        <v>1243.48</v>
      </c>
      <c r="K45" s="20"/>
      <c r="L45" s="20"/>
      <c r="M45" s="20"/>
    </row>
    <row r="46" spans="1:13">
      <c r="A46" s="26" t="s">
        <v>369</v>
      </c>
      <c r="B46" s="27">
        <v>6</v>
      </c>
      <c r="C46" s="27">
        <v>19458</v>
      </c>
      <c r="D46" s="31">
        <v>1072.98</v>
      </c>
      <c r="E46" s="27">
        <v>274.64999999999998</v>
      </c>
      <c r="F46" s="27">
        <v>240.45</v>
      </c>
      <c r="G46" s="27">
        <v>-14.95</v>
      </c>
      <c r="H46" s="31">
        <v>1313.43</v>
      </c>
      <c r="I46" s="27">
        <v>259.7</v>
      </c>
      <c r="J46" s="32">
        <v>1573.13</v>
      </c>
      <c r="K46" s="20"/>
      <c r="L46" s="20"/>
      <c r="M46" s="20"/>
    </row>
    <row r="47" spans="1:13">
      <c r="A47" s="23" t="s">
        <v>370</v>
      </c>
      <c r="B47" s="24">
        <v>7</v>
      </c>
      <c r="C47" s="24">
        <v>11593</v>
      </c>
      <c r="D47" s="24">
        <v>639.28</v>
      </c>
      <c r="E47" s="24">
        <v>111.45</v>
      </c>
      <c r="F47" s="24">
        <v>234.6</v>
      </c>
      <c r="G47" s="24">
        <v>-17.91</v>
      </c>
      <c r="H47" s="24">
        <v>873.88</v>
      </c>
      <c r="I47" s="24">
        <v>93.54</v>
      </c>
      <c r="J47" s="25">
        <v>967.42</v>
      </c>
      <c r="K47" s="20"/>
      <c r="L47" s="20"/>
      <c r="M47" s="20"/>
    </row>
    <row r="48" spans="1:13">
      <c r="A48" s="33" t="s">
        <v>371</v>
      </c>
      <c r="B48" s="34">
        <v>282</v>
      </c>
      <c r="C48" s="34">
        <v>365340</v>
      </c>
      <c r="D48" s="35">
        <v>20146.16</v>
      </c>
      <c r="E48" s="35">
        <v>6575.61</v>
      </c>
      <c r="F48" s="35">
        <v>11596.07</v>
      </c>
      <c r="G48" s="34" t="s">
        <v>372</v>
      </c>
      <c r="H48" s="35">
        <v>31742.25</v>
      </c>
      <c r="I48" s="35">
        <v>5899.01</v>
      </c>
      <c r="J48" s="35">
        <v>37641.26</v>
      </c>
      <c r="K48" s="20"/>
      <c r="L48" s="20"/>
      <c r="M48" s="20"/>
    </row>
  </sheetData>
  <mergeCells count="1">
    <mergeCell ref="A1:M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1"/>
  <sheetViews>
    <sheetView workbookViewId="0">
      <selection activeCell="P15" sqref="P15"/>
    </sheetView>
  </sheetViews>
  <sheetFormatPr defaultRowHeight="15"/>
  <sheetData>
    <row r="3" spans="1:16">
      <c r="A3" t="s">
        <v>297</v>
      </c>
      <c r="C3" t="s">
        <v>298</v>
      </c>
      <c r="D3" t="s">
        <v>299</v>
      </c>
      <c r="I3" s="10" t="s">
        <v>300</v>
      </c>
    </row>
    <row r="4" spans="1:16">
      <c r="D4">
        <f>6605*(25.766/1000)</f>
        <v>170.18442999999999</v>
      </c>
    </row>
    <row r="6" spans="1:16">
      <c r="B6" t="s">
        <v>308</v>
      </c>
      <c r="D6" t="s">
        <v>298</v>
      </c>
      <c r="E6" t="s">
        <v>309</v>
      </c>
      <c r="I6" s="10">
        <v>25.765999999999998</v>
      </c>
    </row>
    <row r="8" spans="1:16">
      <c r="B8" t="s">
        <v>301</v>
      </c>
      <c r="D8" t="s">
        <v>298</v>
      </c>
      <c r="E8" t="s">
        <v>302</v>
      </c>
      <c r="N8" s="10" t="s">
        <v>303</v>
      </c>
    </row>
    <row r="9" spans="1:16">
      <c r="E9">
        <f>(0.1*62032)+(200.25+182.07)</f>
        <v>6585.52</v>
      </c>
    </row>
    <row r="11" spans="1:16">
      <c r="C11" t="s">
        <v>304</v>
      </c>
      <c r="E11" t="s">
        <v>298</v>
      </c>
      <c r="F11" t="s">
        <v>310</v>
      </c>
      <c r="L11" s="10" t="s">
        <v>313</v>
      </c>
    </row>
    <row r="12" spans="1:16">
      <c r="F12" s="2">
        <f>7779.71/77754</f>
        <v>0.10005543123183373</v>
      </c>
    </row>
    <row r="14" spans="1:16">
      <c r="C14" t="s">
        <v>305</v>
      </c>
      <c r="E14" t="s">
        <v>298</v>
      </c>
      <c r="F14" t="s">
        <v>316</v>
      </c>
      <c r="N14" t="s">
        <v>317</v>
      </c>
      <c r="P14">
        <f>36124*0.11</f>
        <v>3973.64</v>
      </c>
    </row>
    <row r="17" spans="3:11">
      <c r="C17" t="s">
        <v>306</v>
      </c>
      <c r="E17" t="s">
        <v>298</v>
      </c>
      <c r="F17" t="s">
        <v>311</v>
      </c>
      <c r="K17" s="10" t="s">
        <v>314</v>
      </c>
    </row>
    <row r="18" spans="3:11">
      <c r="F18">
        <f>1892*0.11</f>
        <v>208.12</v>
      </c>
    </row>
    <row r="20" spans="3:11">
      <c r="C20" t="s">
        <v>307</v>
      </c>
      <c r="E20" t="s">
        <v>298</v>
      </c>
      <c r="F20" t="s">
        <v>312</v>
      </c>
      <c r="K20" s="10" t="s">
        <v>315</v>
      </c>
    </row>
    <row r="21" spans="3:11">
      <c r="F21">
        <f>1720.2*0.11</f>
        <v>189.22200000000001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Dati generali</vt:lpstr>
      <vt:lpstr>Vettori energetici</vt:lpstr>
      <vt:lpstr>Generatore</vt:lpstr>
      <vt:lpstr>Letture-mill. u.i.</vt:lpstr>
      <vt:lpstr>Consumi vet energ.</vt:lpstr>
      <vt:lpstr>Spese e costi unitari</vt:lpstr>
      <vt:lpstr>Ripart. u.i.</vt:lpstr>
      <vt:lpstr>Consumo e spesa</vt:lpstr>
      <vt:lpstr>Spese u.i.</vt:lpstr>
      <vt:lpstr>Dati condominio</vt:lpstr>
      <vt:lpstr>Risultato</vt:lpstr>
      <vt:lpstr>Foglio1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</dc:creator>
  <cp:lastModifiedBy>Alessandro Moda</cp:lastModifiedBy>
  <dcterms:created xsi:type="dcterms:W3CDTF">2016-05-06T09:03:24Z</dcterms:created>
  <dcterms:modified xsi:type="dcterms:W3CDTF">2018-01-17T21:18:19Z</dcterms:modified>
</cp:coreProperties>
</file>