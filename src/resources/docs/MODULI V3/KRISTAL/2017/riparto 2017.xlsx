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KRISTAL\2017\"/>
    </mc:Choice>
  </mc:AlternateContent>
  <bookViews>
    <workbookView xWindow="0" yWindow="0" windowWidth="28800" windowHeight="13020"/>
  </bookViews>
  <sheets>
    <sheet name="Foglio1" sheetId="1" r:id="rId1"/>
    <sheet name="Foglio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J14" i="1"/>
  <c r="J15" i="1" s="1"/>
  <c r="O27" i="1" l="1"/>
  <c r="F27" i="1"/>
  <c r="E31" i="1"/>
  <c r="K43" i="1" l="1"/>
  <c r="E42" i="1"/>
  <c r="E38" i="1"/>
  <c r="E44" i="1"/>
  <c r="L38" i="1"/>
  <c r="L36" i="1"/>
  <c r="F25" i="1"/>
  <c r="E46" i="1" l="1"/>
  <c r="F20" i="1" l="1"/>
  <c r="A20" i="1"/>
  <c r="B20" i="1"/>
  <c r="H22" i="3" l="1"/>
  <c r="B20" i="3"/>
  <c r="C20" i="3"/>
  <c r="D20" i="3"/>
  <c r="F20" i="3"/>
  <c r="H20" i="3"/>
  <c r="K20" i="3"/>
  <c r="E20" i="1" l="1"/>
  <c r="E33" i="1"/>
  <c r="E43" i="1" s="1"/>
  <c r="F23" i="1" l="1"/>
  <c r="B23" i="1"/>
</calcChain>
</file>

<file path=xl/sharedStrings.xml><?xml version="1.0" encoding="utf-8"?>
<sst xmlns="http://schemas.openxmlformats.org/spreadsheetml/2006/main" count="61" uniqueCount="57">
  <si>
    <t>€</t>
  </si>
  <si>
    <t>mc</t>
  </si>
  <si>
    <t>€/kWh</t>
  </si>
  <si>
    <t>kWh</t>
  </si>
  <si>
    <t>€/mc</t>
  </si>
  <si>
    <t>ENEL</t>
  </si>
  <si>
    <t>GAS</t>
  </si>
  <si>
    <t>(tot kWh / € enel) * € FM</t>
  </si>
  <si>
    <t>FM</t>
  </si>
  <si>
    <t>Curit</t>
  </si>
  <si>
    <t>Conduz</t>
  </si>
  <si>
    <t>Consumo  Eneriga elettrica</t>
  </si>
  <si>
    <t>Consumo Generatore</t>
  </si>
  <si>
    <t>Utilizzata la formula (G * 9,45 kWh/mc * rendimento %) dato che non c'è contatore</t>
  </si>
  <si>
    <t>% rendimento</t>
  </si>
  <si>
    <t>fabbisogno annuo clima</t>
  </si>
  <si>
    <t>perdite impianto</t>
  </si>
  <si>
    <t>da relazione tecnica termotecnico</t>
  </si>
  <si>
    <t>calcolati da bollette enel e gas</t>
  </si>
  <si>
    <t xml:space="preserve">Fabbisogno energia annua </t>
  </si>
  <si>
    <t>ALLAHYARY SHAGHAYECH</t>
  </si>
  <si>
    <t>AMATI/MORETTI</t>
  </si>
  <si>
    <t>BIGNAMINI</t>
  </si>
  <si>
    <t>BRUNETTI DOMENICO</t>
  </si>
  <si>
    <t>CASANOVA</t>
  </si>
  <si>
    <t>CAVALLI</t>
  </si>
  <si>
    <t>CELADA</t>
  </si>
  <si>
    <t>CELE'</t>
  </si>
  <si>
    <t>FERLA</t>
  </si>
  <si>
    <t>LODOLA/BOTTANI</t>
  </si>
  <si>
    <t>MAGNINI</t>
  </si>
  <si>
    <t>MANFREDINI</t>
  </si>
  <si>
    <t>MARANZANA</t>
  </si>
  <si>
    <t>MIGLIAZZA</t>
  </si>
  <si>
    <t>MILANI</t>
  </si>
  <si>
    <t>RONCHI</t>
  </si>
  <si>
    <t>VALLE PAOLO</t>
  </si>
  <si>
    <t>ZORZETTI</t>
  </si>
  <si>
    <t>fabbisogno annuo ACS</t>
  </si>
  <si>
    <t>letture</t>
  </si>
  <si>
    <t>4,88 * 282 ripartitori</t>
  </si>
  <si>
    <t>126203,16/407907</t>
  </si>
  <si>
    <t>sono in %</t>
  </si>
  <si>
    <t>fabbisogno clima-perdite</t>
  </si>
  <si>
    <t>mettere tot enel</t>
  </si>
  <si>
    <t>kwh</t>
  </si>
  <si>
    <t>%incidenza acs</t>
  </si>
  <si>
    <t>%incidenza enel</t>
  </si>
  <si>
    <t>70% circa del totale kWh bollette enel</t>
  </si>
  <si>
    <t>fabbisogno ACS nel periodo (VETT ENERG - combustibile)</t>
  </si>
  <si>
    <t>fabbisogno ACS nel periodo (VETT ENERG - energia elettrica)</t>
  </si>
  <si>
    <t>fabbisogno energia termica per ACS nel periodo (GENERATORE)</t>
  </si>
  <si>
    <t>stimato 16% di totale mc bolletta gas</t>
  </si>
  <si>
    <t>stimato 16% di totale kwh consumo generatore</t>
  </si>
  <si>
    <t>stimato 16% di consumo generatore</t>
  </si>
  <si>
    <t>70% circa del totale € bollette enel</t>
  </si>
  <si>
    <t>55741/407907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</si>
</sst>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€&quot;\ * #,##0.00_-;\-&quot;€&quot;\ * #,##0.00_-;_-&quot;€&quot;\ * &quot;-&quot;??_-;_-@_-"/>
    <numFmt numFmtId="164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11111"/>
      <name val="Inherit"/>
    </font>
    <font>
      <b/>
      <sz val="10"/>
      <color rgb="FF111111"/>
      <name val="Inherit"/>
    </font>
    <font>
      <b/>
      <sz val="11"/>
      <color rgb="FF111111"/>
      <name val="Inherit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5" xfId="0" applyFont="1" applyBorder="1"/>
    <xf numFmtId="2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44" fontId="2" fillId="0" borderId="4" xfId="1" applyFont="1" applyBorder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4" fontId="4" fillId="3" borderId="0" xfId="0" applyNumberFormat="1" applyFont="1" applyFill="1" applyAlignment="1">
      <alignment horizontal="right" vertical="center" wrapText="1"/>
    </xf>
    <xf numFmtId="4" fontId="5" fillId="3" borderId="0" xfId="0" applyNumberFormat="1" applyFont="1" applyFill="1" applyAlignment="1">
      <alignment horizontal="right" vertical="center" wrapText="1"/>
    </xf>
    <xf numFmtId="4" fontId="4" fillId="2" borderId="0" xfId="0" applyNumberFormat="1" applyFont="1" applyFill="1" applyAlignment="1">
      <alignment horizontal="right" vertical="center" wrapText="1"/>
    </xf>
    <xf numFmtId="4" fontId="5" fillId="2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right" vertical="center" wrapText="1"/>
    </xf>
    <xf numFmtId="4" fontId="6" fillId="4" borderId="0" xfId="0" applyNumberFormat="1" applyFont="1" applyFill="1" applyAlignment="1">
      <alignment horizontal="right" vertical="center" wrapText="1"/>
    </xf>
    <xf numFmtId="4" fontId="0" fillId="0" borderId="0" xfId="0" applyNumberFormat="1"/>
    <xf numFmtId="164" fontId="2" fillId="0" borderId="0" xfId="0" applyNumberFormat="1" applyFont="1"/>
    <xf numFmtId="0" fontId="1" fillId="5" borderId="0" xfId="0" applyFont="1" applyFill="1"/>
    <xf numFmtId="0" fontId="0" fillId="5" borderId="0" xfId="0" applyFill="1"/>
    <xf numFmtId="10" fontId="0" fillId="0" borderId="0" xfId="0" applyNumberFormat="1"/>
    <xf numFmtId="2" fontId="0" fillId="0" borderId="0" xfId="0" applyNumberFormat="1"/>
    <xf numFmtId="1" fontId="2" fillId="6" borderId="0" xfId="0" applyNumberFormat="1" applyFont="1" applyFill="1"/>
    <xf numFmtId="2" fontId="2" fillId="6" borderId="0" xfId="0" applyNumberFormat="1" applyFont="1" applyFill="1"/>
    <xf numFmtId="44" fontId="2" fillId="6" borderId="0" xfId="1" applyFont="1" applyFill="1"/>
    <xf numFmtId="0" fontId="2" fillId="6" borderId="0" xfId="0" applyFont="1" applyFill="1"/>
    <xf numFmtId="0" fontId="1" fillId="0" borderId="1" xfId="0" applyFont="1" applyBorder="1" applyAlignment="1">
      <alignment horizontal="center"/>
    </xf>
    <xf numFmtId="44" fontId="0" fillId="0" borderId="0" xfId="0" applyNumberForma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6"/>
  <sheetViews>
    <sheetView tabSelected="1" topLeftCell="A13" workbookViewId="0">
      <selection activeCell="E36" sqref="E36"/>
    </sheetView>
  </sheetViews>
  <sheetFormatPr defaultRowHeight="15"/>
  <cols>
    <col min="1" max="1" width="11.85546875" customWidth="1"/>
    <col min="2" max="2" width="20.85546875" bestFit="1" customWidth="1"/>
    <col min="3" max="3" width="13.140625" customWidth="1"/>
    <col min="4" max="4" width="12.140625" customWidth="1"/>
    <col min="5" max="5" width="12" customWidth="1"/>
    <col min="6" max="6" width="20.85546875" bestFit="1" customWidth="1"/>
    <col min="10" max="10" width="12" bestFit="1" customWidth="1"/>
  </cols>
  <sheetData>
    <row r="2" spans="1:10">
      <c r="A2" s="35" t="s">
        <v>5</v>
      </c>
      <c r="B2" s="35"/>
      <c r="E2" s="35" t="s">
        <v>6</v>
      </c>
      <c r="F2" s="35"/>
    </row>
    <row r="3" spans="1:10">
      <c r="A3" s="7" t="s">
        <v>0</v>
      </c>
      <c r="B3" s="7" t="s">
        <v>3</v>
      </c>
      <c r="C3" s="1"/>
      <c r="D3" s="1"/>
      <c r="E3" s="7" t="s">
        <v>0</v>
      </c>
      <c r="F3" s="7" t="s">
        <v>1</v>
      </c>
    </row>
    <row r="4" spans="1:10">
      <c r="A4" s="4"/>
      <c r="B4" s="4"/>
      <c r="E4" s="4"/>
      <c r="F4" s="4"/>
    </row>
    <row r="5" spans="1:10">
      <c r="A5" s="4"/>
      <c r="B5" s="4">
        <v>818</v>
      </c>
      <c r="E5" s="4"/>
      <c r="F5" s="4">
        <v>5711</v>
      </c>
    </row>
    <row r="6" spans="1:10">
      <c r="A6" s="4"/>
      <c r="B6" s="4">
        <v>599</v>
      </c>
      <c r="E6" s="4"/>
      <c r="F6" s="4">
        <v>2685</v>
      </c>
    </row>
    <row r="7" spans="1:10">
      <c r="A7" s="4"/>
      <c r="B7" s="4">
        <v>278</v>
      </c>
      <c r="E7" s="4"/>
      <c r="F7" s="4">
        <v>924</v>
      </c>
    </row>
    <row r="8" spans="1:10">
      <c r="A8" s="4"/>
      <c r="B8" s="4">
        <v>262</v>
      </c>
      <c r="E8" s="4"/>
      <c r="F8" s="4">
        <v>610</v>
      </c>
    </row>
    <row r="9" spans="1:10">
      <c r="A9" s="4"/>
      <c r="B9" s="4">
        <v>247</v>
      </c>
      <c r="E9" s="4"/>
      <c r="F9" s="4">
        <v>697</v>
      </c>
    </row>
    <row r="10" spans="1:10">
      <c r="A10" s="4"/>
      <c r="B10" s="4">
        <v>240</v>
      </c>
      <c r="E10" s="4"/>
      <c r="F10" s="4">
        <v>624</v>
      </c>
    </row>
    <row r="11" spans="1:10">
      <c r="A11" s="2"/>
      <c r="B11" s="3">
        <v>450</v>
      </c>
      <c r="E11" s="4"/>
      <c r="F11" s="4">
        <v>682</v>
      </c>
    </row>
    <row r="12" spans="1:10">
      <c r="A12" s="2"/>
      <c r="B12" s="3">
        <v>766</v>
      </c>
      <c r="E12" s="4"/>
      <c r="F12" s="4">
        <v>2728</v>
      </c>
    </row>
    <row r="13" spans="1:10">
      <c r="A13" s="2"/>
      <c r="B13" s="3">
        <v>860</v>
      </c>
      <c r="E13" s="2"/>
      <c r="F13" s="3">
        <v>5586</v>
      </c>
    </row>
    <row r="14" spans="1:10">
      <c r="A14" s="2"/>
      <c r="B14" s="3">
        <v>802</v>
      </c>
      <c r="E14" s="2"/>
      <c r="F14" s="3">
        <v>6587</v>
      </c>
      <c r="J14" s="36">
        <f>SUM(E20,E35,E36)</f>
        <v>36755.5916</v>
      </c>
    </row>
    <row r="15" spans="1:10">
      <c r="A15" s="2">
        <v>1902.16</v>
      </c>
      <c r="B15" s="3">
        <v>923</v>
      </c>
      <c r="E15" s="2">
        <v>33417.949999999997</v>
      </c>
      <c r="F15" s="3">
        <v>9290</v>
      </c>
      <c r="J15" s="36">
        <f>SUM(J14,E46)</f>
        <v>38131.751600000003</v>
      </c>
    </row>
    <row r="16" spans="1:10">
      <c r="A16" s="2"/>
      <c r="B16" s="3"/>
      <c r="E16" s="2"/>
      <c r="F16" s="3"/>
    </row>
    <row r="17" spans="1:15">
      <c r="A17" s="2"/>
      <c r="B17" s="3"/>
      <c r="E17" s="2"/>
      <c r="F17" s="3"/>
    </row>
    <row r="18" spans="1:15">
      <c r="A18" s="2"/>
      <c r="B18" s="3"/>
      <c r="E18" s="2"/>
      <c r="F18" s="3"/>
    </row>
    <row r="19" spans="1:15">
      <c r="A19" s="2"/>
      <c r="B19" s="3"/>
      <c r="E19" s="2"/>
      <c r="F19" s="3"/>
    </row>
    <row r="20" spans="1:15">
      <c r="A20" s="11">
        <f>SUM(A5:A19)</f>
        <v>1902.16</v>
      </c>
      <c r="B20" s="5">
        <f>SUM(B5:B19)</f>
        <v>6245</v>
      </c>
      <c r="E20" s="11">
        <f t="shared" ref="E20" si="0">SUM(E5:E19)</f>
        <v>33417.949999999997</v>
      </c>
      <c r="F20" s="5">
        <f>SUM(F5:F19)</f>
        <v>36124</v>
      </c>
      <c r="H20" t="s">
        <v>18</v>
      </c>
    </row>
    <row r="23" spans="1:15">
      <c r="A23" s="8" t="s">
        <v>2</v>
      </c>
      <c r="B23" s="26">
        <f>A20/B20</f>
        <v>0.30458927141713371</v>
      </c>
      <c r="E23" s="8" t="s">
        <v>4</v>
      </c>
      <c r="F23" s="26">
        <f>E20/F20</f>
        <v>0.92508996788838438</v>
      </c>
      <c r="M23" t="s">
        <v>41</v>
      </c>
      <c r="O23" s="29">
        <v>0.26800000000000002</v>
      </c>
    </row>
    <row r="24" spans="1:15">
      <c r="A24" s="8"/>
      <c r="B24" s="6"/>
      <c r="E24" s="8"/>
      <c r="F24" s="6"/>
    </row>
    <row r="25" spans="1:15">
      <c r="A25" s="8" t="s">
        <v>16</v>
      </c>
      <c r="B25" s="6"/>
      <c r="E25" s="9">
        <v>126203</v>
      </c>
      <c r="F25" s="31">
        <f>E31*0.2679</f>
        <v>90264.609652140003</v>
      </c>
      <c r="G25" t="s">
        <v>17</v>
      </c>
      <c r="L25" t="s">
        <v>42</v>
      </c>
    </row>
    <row r="26" spans="1:15">
      <c r="A26" s="8"/>
      <c r="B26" s="6"/>
      <c r="E26" s="8"/>
      <c r="F26" s="6"/>
    </row>
    <row r="27" spans="1:15">
      <c r="A27" s="8" t="s">
        <v>15</v>
      </c>
      <c r="B27" s="6"/>
      <c r="E27" s="9">
        <v>470907</v>
      </c>
      <c r="F27" s="31">
        <f>E31</f>
        <v>336933.96659999999</v>
      </c>
      <c r="G27" t="s">
        <v>17</v>
      </c>
      <c r="M27" t="s">
        <v>56</v>
      </c>
      <c r="O27">
        <f>E41/E27</f>
        <v>0.11836944449753348</v>
      </c>
    </row>
    <row r="28" spans="1:15">
      <c r="A28" s="8"/>
      <c r="B28" s="6"/>
      <c r="E28" s="8"/>
      <c r="F28" s="6"/>
    </row>
    <row r="29" spans="1:15">
      <c r="A29" s="8" t="s">
        <v>14</v>
      </c>
      <c r="E29" s="10">
        <v>0.98699999999999999</v>
      </c>
      <c r="G29" t="s">
        <v>17</v>
      </c>
    </row>
    <row r="31" spans="1:15">
      <c r="A31" s="8" t="s">
        <v>12</v>
      </c>
      <c r="E31" s="32">
        <f>F20*9.45*E29</f>
        <v>336933.96659999999</v>
      </c>
      <c r="F31" t="s">
        <v>45</v>
      </c>
      <c r="G31" t="s">
        <v>13</v>
      </c>
    </row>
    <row r="33" spans="1:13">
      <c r="A33" s="8" t="s">
        <v>11</v>
      </c>
      <c r="E33" s="32">
        <f>(B20/A20)*E35</f>
        <v>4746.2000000000007</v>
      </c>
      <c r="F33" t="s">
        <v>3</v>
      </c>
      <c r="G33" t="s">
        <v>7</v>
      </c>
    </row>
    <row r="35" spans="1:13">
      <c r="A35" s="27" t="s">
        <v>8</v>
      </c>
      <c r="B35" s="28"/>
      <c r="C35" s="28"/>
      <c r="D35" s="28"/>
      <c r="E35" s="33">
        <f>A20*0.76</f>
        <v>1445.6416000000002</v>
      </c>
      <c r="F35" s="28" t="s">
        <v>55</v>
      </c>
      <c r="G35" s="28"/>
      <c r="H35" s="28"/>
      <c r="K35" t="s">
        <v>44</v>
      </c>
    </row>
    <row r="36" spans="1:13">
      <c r="A36" s="8" t="s">
        <v>10</v>
      </c>
      <c r="E36" s="33">
        <v>1892</v>
      </c>
      <c r="L36">
        <f>E27-E25</f>
        <v>344704</v>
      </c>
      <c r="M36" t="s">
        <v>43</v>
      </c>
    </row>
    <row r="37" spans="1:13">
      <c r="A37" s="8" t="s">
        <v>9</v>
      </c>
      <c r="E37" s="33"/>
    </row>
    <row r="38" spans="1:13">
      <c r="A38" s="27" t="s">
        <v>19</v>
      </c>
      <c r="B38" s="28"/>
      <c r="C38" s="28"/>
      <c r="D38" s="28"/>
      <c r="E38" s="34">
        <f>B20*0.715</f>
        <v>4465.1750000000002</v>
      </c>
      <c r="F38" s="28" t="s">
        <v>48</v>
      </c>
      <c r="G38" s="28"/>
      <c r="H38" s="28"/>
      <c r="L38">
        <f>E41/L36*100</f>
        <v>16.170685573709616</v>
      </c>
      <c r="M38" t="s">
        <v>46</v>
      </c>
    </row>
    <row r="41" spans="1:13">
      <c r="A41" s="8" t="s">
        <v>38</v>
      </c>
      <c r="E41" s="6">
        <v>55741</v>
      </c>
    </row>
    <row r="42" spans="1:13">
      <c r="A42" s="28" t="s">
        <v>49</v>
      </c>
      <c r="B42" s="28"/>
      <c r="C42" s="28"/>
      <c r="D42" s="28"/>
      <c r="E42" s="32">
        <f>F20*0.16</f>
        <v>5779.84</v>
      </c>
      <c r="F42" s="28" t="s">
        <v>52</v>
      </c>
      <c r="G42" s="28"/>
      <c r="H42" s="28"/>
    </row>
    <row r="43" spans="1:13">
      <c r="A43" s="28" t="s">
        <v>50</v>
      </c>
      <c r="B43" s="28"/>
      <c r="C43" s="28"/>
      <c r="D43" s="28"/>
      <c r="E43" s="32">
        <f>E33*0.16</f>
        <v>759.39200000000017</v>
      </c>
      <c r="F43" s="28" t="s">
        <v>53</v>
      </c>
      <c r="G43" s="28"/>
      <c r="H43" s="28"/>
      <c r="K43" s="30">
        <f>F20-E42</f>
        <v>30344.16</v>
      </c>
      <c r="L43" t="s">
        <v>47</v>
      </c>
    </row>
    <row r="44" spans="1:13">
      <c r="A44" s="28" t="s">
        <v>51</v>
      </c>
      <c r="B44" s="28"/>
      <c r="C44" s="28"/>
      <c r="D44" s="28"/>
      <c r="E44" s="32">
        <f>E31*0.16</f>
        <v>53909.434655999998</v>
      </c>
      <c r="F44" s="28" t="s">
        <v>54</v>
      </c>
      <c r="G44" s="28"/>
      <c r="H44" s="28"/>
    </row>
    <row r="46" spans="1:13">
      <c r="A46" s="8" t="s">
        <v>39</v>
      </c>
      <c r="B46" t="s">
        <v>40</v>
      </c>
      <c r="E46" s="33">
        <f>282*4.88</f>
        <v>1376.16</v>
      </c>
    </row>
  </sheetData>
  <mergeCells count="2">
    <mergeCell ref="A2:B2"/>
    <mergeCell ref="E2:F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>
      <selection activeCell="H23" sqref="H23"/>
    </sheetView>
  </sheetViews>
  <sheetFormatPr defaultRowHeight="15"/>
  <cols>
    <col min="1" max="1" width="31.42578125" customWidth="1"/>
    <col min="2" max="2" width="6.85546875" customWidth="1"/>
    <col min="3" max="3" width="15.5703125" customWidth="1"/>
    <col min="4" max="4" width="16.140625" customWidth="1"/>
    <col min="5" max="5" width="7.5703125" customWidth="1"/>
    <col min="6" max="6" width="15.140625" customWidth="1"/>
    <col min="7" max="7" width="10.140625" customWidth="1"/>
    <col min="8" max="8" width="15.85546875" customWidth="1"/>
    <col min="9" max="9" width="9.42578125" customWidth="1"/>
    <col min="10" max="10" width="9" bestFit="1" customWidth="1"/>
  </cols>
  <sheetData>
    <row r="2" spans="1:10">
      <c r="A2" s="12" t="s">
        <v>20</v>
      </c>
      <c r="B2" s="13">
        <v>4</v>
      </c>
      <c r="C2" s="13">
        <v>1653</v>
      </c>
      <c r="D2" s="13">
        <v>291</v>
      </c>
      <c r="E2" s="13">
        <v>0</v>
      </c>
      <c r="F2" s="13">
        <v>125</v>
      </c>
      <c r="G2" s="13">
        <v>0</v>
      </c>
      <c r="H2" s="13">
        <v>416.01</v>
      </c>
      <c r="I2" s="13">
        <v>0</v>
      </c>
      <c r="J2" s="14">
        <v>416.01</v>
      </c>
    </row>
    <row r="3" spans="1:10">
      <c r="A3" s="15" t="s">
        <v>21</v>
      </c>
      <c r="B3" s="16">
        <v>4</v>
      </c>
      <c r="C3" s="16">
        <v>1743</v>
      </c>
      <c r="D3" s="16">
        <v>306.85000000000002</v>
      </c>
      <c r="E3" s="16">
        <v>0</v>
      </c>
      <c r="F3" s="16">
        <v>100.8</v>
      </c>
      <c r="G3" s="16">
        <v>0</v>
      </c>
      <c r="H3" s="16">
        <v>407.64</v>
      </c>
      <c r="I3" s="16">
        <v>0</v>
      </c>
      <c r="J3" s="17">
        <v>407.64</v>
      </c>
    </row>
    <row r="4" spans="1:10">
      <c r="A4" s="12" t="s">
        <v>22</v>
      </c>
      <c r="B4" s="13">
        <v>4</v>
      </c>
      <c r="C4" s="13">
        <v>2385</v>
      </c>
      <c r="D4" s="13">
        <v>419.87</v>
      </c>
      <c r="E4" s="13">
        <v>0</v>
      </c>
      <c r="F4" s="13">
        <v>147.80000000000001</v>
      </c>
      <c r="G4" s="13">
        <v>0</v>
      </c>
      <c r="H4" s="13">
        <v>567.66999999999996</v>
      </c>
      <c r="I4" s="13">
        <v>0</v>
      </c>
      <c r="J4" s="14">
        <v>567.66999999999996</v>
      </c>
    </row>
    <row r="5" spans="1:10">
      <c r="A5" s="15" t="s">
        <v>23</v>
      </c>
      <c r="B5" s="16">
        <v>4</v>
      </c>
      <c r="C5" s="16">
        <v>3162</v>
      </c>
      <c r="D5" s="16">
        <v>556.66</v>
      </c>
      <c r="E5" s="16">
        <v>0</v>
      </c>
      <c r="F5" s="16">
        <v>95.58</v>
      </c>
      <c r="G5" s="16">
        <v>0</v>
      </c>
      <c r="H5" s="16">
        <v>652.23</v>
      </c>
      <c r="I5" s="16">
        <v>0</v>
      </c>
      <c r="J5" s="17">
        <v>652.23</v>
      </c>
    </row>
    <row r="6" spans="1:10">
      <c r="A6" s="12" t="s">
        <v>24</v>
      </c>
      <c r="B6" s="13">
        <v>4</v>
      </c>
      <c r="C6" s="13">
        <v>2532</v>
      </c>
      <c r="D6" s="13">
        <v>445.75</v>
      </c>
      <c r="E6" s="13">
        <v>0</v>
      </c>
      <c r="F6" s="13">
        <v>135.66999999999999</v>
      </c>
      <c r="G6" s="13">
        <v>0</v>
      </c>
      <c r="H6" s="13">
        <v>581.41999999999996</v>
      </c>
      <c r="I6" s="13">
        <v>0</v>
      </c>
      <c r="J6" s="14">
        <v>581.41999999999996</v>
      </c>
    </row>
    <row r="7" spans="1:10">
      <c r="A7" s="15" t="s">
        <v>25</v>
      </c>
      <c r="B7" s="16">
        <v>4</v>
      </c>
      <c r="C7" s="16">
        <v>1470</v>
      </c>
      <c r="D7" s="16">
        <v>258.79000000000002</v>
      </c>
      <c r="E7" s="16">
        <v>0</v>
      </c>
      <c r="F7" s="16">
        <v>80.489999999999995</v>
      </c>
      <c r="G7" s="16">
        <v>0</v>
      </c>
      <c r="H7" s="16">
        <v>339.28</v>
      </c>
      <c r="I7" s="16">
        <v>0</v>
      </c>
      <c r="J7" s="17">
        <v>339.28</v>
      </c>
    </row>
    <row r="8" spans="1:10">
      <c r="A8" s="12" t="s">
        <v>26</v>
      </c>
      <c r="B8" s="13">
        <v>4</v>
      </c>
      <c r="C8" s="13">
        <v>1015</v>
      </c>
      <c r="D8" s="13">
        <v>178.69</v>
      </c>
      <c r="E8" s="13">
        <v>0</v>
      </c>
      <c r="F8" s="13">
        <v>104.35</v>
      </c>
      <c r="G8" s="13">
        <v>0</v>
      </c>
      <c r="H8" s="13">
        <v>283.04000000000002</v>
      </c>
      <c r="I8" s="13">
        <v>0</v>
      </c>
      <c r="J8" s="14">
        <v>283.04000000000002</v>
      </c>
    </row>
    <row r="9" spans="1:10">
      <c r="A9" s="15" t="s">
        <v>27</v>
      </c>
      <c r="B9" s="16">
        <v>4</v>
      </c>
      <c r="C9" s="16">
        <v>2324</v>
      </c>
      <c r="D9" s="16">
        <v>409.13</v>
      </c>
      <c r="E9" s="16">
        <v>0</v>
      </c>
      <c r="F9" s="16">
        <v>93.04</v>
      </c>
      <c r="G9" s="16">
        <v>0</v>
      </c>
      <c r="H9" s="16">
        <v>502.17</v>
      </c>
      <c r="I9" s="16">
        <v>0</v>
      </c>
      <c r="J9" s="17">
        <v>502.17</v>
      </c>
    </row>
    <row r="10" spans="1:10">
      <c r="A10" s="12" t="s">
        <v>28</v>
      </c>
      <c r="B10" s="13">
        <v>4</v>
      </c>
      <c r="C10" s="13">
        <v>351</v>
      </c>
      <c r="D10" s="13">
        <v>61.79</v>
      </c>
      <c r="E10" s="13">
        <v>0</v>
      </c>
      <c r="F10" s="13">
        <v>139.22999999999999</v>
      </c>
      <c r="G10" s="13">
        <v>0</v>
      </c>
      <c r="H10" s="13">
        <v>201.02</v>
      </c>
      <c r="I10" s="13">
        <v>0</v>
      </c>
      <c r="J10" s="14">
        <v>201.02</v>
      </c>
    </row>
    <row r="11" spans="1:10">
      <c r="A11" s="15" t="s">
        <v>29</v>
      </c>
      <c r="B11" s="16">
        <v>4</v>
      </c>
      <c r="C11" s="16">
        <v>2655</v>
      </c>
      <c r="D11" s="16">
        <v>467.4</v>
      </c>
      <c r="E11" s="16">
        <v>0</v>
      </c>
      <c r="F11" s="16">
        <v>127.8</v>
      </c>
      <c r="G11" s="16">
        <v>0</v>
      </c>
      <c r="H11" s="16">
        <v>595.20000000000005</v>
      </c>
      <c r="I11" s="16">
        <v>0</v>
      </c>
      <c r="J11" s="17">
        <v>595.20000000000005</v>
      </c>
    </row>
    <row r="12" spans="1:10">
      <c r="A12" s="12" t="s">
        <v>30</v>
      </c>
      <c r="B12" s="13">
        <v>4</v>
      </c>
      <c r="C12" s="13">
        <v>39</v>
      </c>
      <c r="D12" s="13">
        <v>6.87</v>
      </c>
      <c r="E12" s="13">
        <v>0</v>
      </c>
      <c r="F12" s="13">
        <v>157.59</v>
      </c>
      <c r="G12" s="13">
        <v>0</v>
      </c>
      <c r="H12" s="13">
        <v>164.46</v>
      </c>
      <c r="I12" s="13">
        <v>0</v>
      </c>
      <c r="J12" s="14">
        <v>164.46</v>
      </c>
    </row>
    <row r="13" spans="1:10">
      <c r="A13" s="15" t="s">
        <v>31</v>
      </c>
      <c r="B13" s="16">
        <v>4</v>
      </c>
      <c r="C13" s="16">
        <v>4261</v>
      </c>
      <c r="D13" s="16">
        <v>750.13</v>
      </c>
      <c r="E13" s="16">
        <v>0</v>
      </c>
      <c r="F13" s="16">
        <v>122.53</v>
      </c>
      <c r="G13" s="16">
        <v>0</v>
      </c>
      <c r="H13" s="16">
        <v>872.66</v>
      </c>
      <c r="I13" s="16">
        <v>0</v>
      </c>
      <c r="J13" s="17">
        <v>872.66</v>
      </c>
    </row>
    <row r="14" spans="1:10">
      <c r="A14" s="12" t="s">
        <v>32</v>
      </c>
      <c r="B14" s="13">
        <v>4</v>
      </c>
      <c r="C14" s="13">
        <v>3117</v>
      </c>
      <c r="D14" s="13">
        <v>548.73</v>
      </c>
      <c r="E14" s="13">
        <v>0</v>
      </c>
      <c r="F14" s="13">
        <v>96.87</v>
      </c>
      <c r="G14" s="13">
        <v>0</v>
      </c>
      <c r="H14" s="13">
        <v>645.6</v>
      </c>
      <c r="I14" s="13">
        <v>0</v>
      </c>
      <c r="J14" s="14">
        <v>645.6</v>
      </c>
    </row>
    <row r="15" spans="1:10">
      <c r="A15" s="15" t="s">
        <v>33</v>
      </c>
      <c r="B15" s="16">
        <v>5</v>
      </c>
      <c r="C15" s="16">
        <v>5958</v>
      </c>
      <c r="D15" s="18">
        <v>1048.8800000000001</v>
      </c>
      <c r="E15" s="16">
        <v>0</v>
      </c>
      <c r="F15" s="16">
        <v>181.04</v>
      </c>
      <c r="G15" s="16">
        <v>0</v>
      </c>
      <c r="H15" s="18">
        <v>1229.92</v>
      </c>
      <c r="I15" s="16">
        <v>0</v>
      </c>
      <c r="J15" s="19">
        <v>1229.92</v>
      </c>
    </row>
    <row r="16" spans="1:10">
      <c r="A16" s="12" t="s">
        <v>34</v>
      </c>
      <c r="B16" s="13">
        <v>4</v>
      </c>
      <c r="C16" s="13">
        <v>1388</v>
      </c>
      <c r="D16" s="13">
        <v>244.35</v>
      </c>
      <c r="E16" s="13">
        <v>0</v>
      </c>
      <c r="F16" s="13">
        <v>127.41</v>
      </c>
      <c r="G16" s="13">
        <v>0</v>
      </c>
      <c r="H16" s="13">
        <v>371.76</v>
      </c>
      <c r="I16" s="13">
        <v>0</v>
      </c>
      <c r="J16" s="14">
        <v>371.76</v>
      </c>
    </row>
    <row r="17" spans="1:11">
      <c r="A17" s="15" t="s">
        <v>35</v>
      </c>
      <c r="B17" s="16">
        <v>4</v>
      </c>
      <c r="C17" s="16">
        <v>1386</v>
      </c>
      <c r="D17" s="16">
        <v>244</v>
      </c>
      <c r="E17" s="16">
        <v>0</v>
      </c>
      <c r="F17" s="16">
        <v>116.94</v>
      </c>
      <c r="G17" s="16">
        <v>0</v>
      </c>
      <c r="H17" s="16">
        <v>360.94</v>
      </c>
      <c r="I17" s="16">
        <v>0</v>
      </c>
      <c r="J17" s="17">
        <v>360.94</v>
      </c>
    </row>
    <row r="18" spans="1:11">
      <c r="A18" s="12" t="s">
        <v>36</v>
      </c>
      <c r="B18" s="13">
        <v>8</v>
      </c>
      <c r="C18" s="13">
        <v>4943</v>
      </c>
      <c r="D18" s="13">
        <v>870.19</v>
      </c>
      <c r="E18" s="13">
        <v>0</v>
      </c>
      <c r="F18" s="13">
        <v>247.03</v>
      </c>
      <c r="G18" s="13">
        <v>0</v>
      </c>
      <c r="H18" s="20">
        <v>1117.22</v>
      </c>
      <c r="I18" s="13">
        <v>0</v>
      </c>
      <c r="J18" s="21">
        <v>1117.22</v>
      </c>
    </row>
    <row r="19" spans="1:11">
      <c r="A19" s="15" t="s">
        <v>37</v>
      </c>
      <c r="B19" s="16">
        <v>4</v>
      </c>
      <c r="C19" s="16">
        <v>272</v>
      </c>
      <c r="D19" s="16">
        <v>47.88</v>
      </c>
      <c r="E19" s="16">
        <v>0</v>
      </c>
      <c r="F19" s="16">
        <v>110.59</v>
      </c>
      <c r="G19" s="16">
        <v>0</v>
      </c>
      <c r="H19" s="16">
        <v>158.47</v>
      </c>
      <c r="I19" s="16">
        <v>0</v>
      </c>
      <c r="J19" s="17">
        <v>158.47</v>
      </c>
    </row>
    <row r="20" spans="1:11">
      <c r="A20" s="22"/>
      <c r="B20" s="23">
        <f>SUM(B2:B19)</f>
        <v>77</v>
      </c>
      <c r="C20" s="23">
        <f>SUM(C2:C19)</f>
        <v>40654</v>
      </c>
      <c r="D20" s="24">
        <f>SUM(D2:D19)</f>
        <v>7156.96</v>
      </c>
      <c r="E20" s="23"/>
      <c r="F20" s="24">
        <f>SUM(F2:F19)</f>
        <v>2309.7600000000002</v>
      </c>
      <c r="G20" s="23"/>
      <c r="H20" s="24">
        <f>SUM(H2:H19)</f>
        <v>9466.7099999999991</v>
      </c>
      <c r="I20" s="23"/>
      <c r="J20" s="24"/>
      <c r="K20">
        <f>SUM(J2:J19)</f>
        <v>9466.7099999999991</v>
      </c>
    </row>
    <row r="22" spans="1:11">
      <c r="H22" s="25">
        <f>SUM(D20:F20)</f>
        <v>9466.7200000000012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2017-11-27T10:41:35Z</dcterms:created>
  <dcterms:modified xsi:type="dcterms:W3CDTF">2018-01-18T21:57:13Z</dcterms:modified>
</cp:coreProperties>
</file>