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oda\Documents\"/>
    </mc:Choice>
  </mc:AlternateContent>
  <bookViews>
    <workbookView xWindow="0" yWindow="0" windowWidth="28800" windowHeight="1302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K18" i="1"/>
  <c r="E20" i="1"/>
  <c r="F17" i="1"/>
  <c r="B17" i="1"/>
  <c r="E14" i="1"/>
  <c r="F14" i="1"/>
  <c r="A14" i="1"/>
  <c r="B14" i="1"/>
</calcChain>
</file>

<file path=xl/sharedStrings.xml><?xml version="1.0" encoding="utf-8"?>
<sst xmlns="http://schemas.openxmlformats.org/spreadsheetml/2006/main" count="17" uniqueCount="12">
  <si>
    <t>€</t>
  </si>
  <si>
    <t>mc</t>
  </si>
  <si>
    <t>€/kWh</t>
  </si>
  <si>
    <t>kWh</t>
  </si>
  <si>
    <t>€/mc</t>
  </si>
  <si>
    <t>ENEL</t>
  </si>
  <si>
    <t>GAS</t>
  </si>
  <si>
    <t>G * 9,45 kWh/mc * rendimento %</t>
  </si>
  <si>
    <t>(tot kWh / € enel) * € FM</t>
  </si>
  <si>
    <t>FM</t>
  </si>
  <si>
    <t>Sirbi</t>
  </si>
  <si>
    <t>Curit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</si>
</sst>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4" xfId="0" applyFont="1" applyBorder="1"/>
    <xf numFmtId="0" fontId="2" fillId="0" borderId="5" xfId="0" applyFont="1" applyBorder="1"/>
    <xf numFmtId="2" fontId="0" fillId="0" borderId="0" xfId="0" applyNumberFormat="1"/>
    <xf numFmtId="2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6"/>
  <sheetViews>
    <sheetView tabSelected="1" workbookViewId="0">
      <selection activeCell="C27" sqref="C27"/>
    </sheetView>
  </sheetViews>
  <sheetFormatPr defaultRowHeight="15" x14ac:dyDescent="0.25"/>
  <sheetData>
    <row r="2" spans="1:6" x14ac:dyDescent="0.25">
      <c r="A2" s="9" t="s">
        <v>5</v>
      </c>
      <c r="B2" s="9"/>
      <c r="E2" s="9" t="s">
        <v>6</v>
      </c>
      <c r="F2" s="9"/>
    </row>
    <row r="3" spans="1:6" x14ac:dyDescent="0.25">
      <c r="A3" s="10" t="s">
        <v>0</v>
      </c>
      <c r="B3" s="10" t="s">
        <v>3</v>
      </c>
      <c r="C3" s="1"/>
      <c r="D3" s="1"/>
      <c r="E3" s="10" t="s">
        <v>0</v>
      </c>
      <c r="F3" s="10" t="s">
        <v>1</v>
      </c>
    </row>
    <row r="4" spans="1:6" x14ac:dyDescent="0.25">
      <c r="A4" s="4"/>
      <c r="B4" s="4"/>
      <c r="E4" s="4"/>
      <c r="F4" s="4"/>
    </row>
    <row r="5" spans="1:6" x14ac:dyDescent="0.25">
      <c r="A5" s="4">
        <v>123.67</v>
      </c>
      <c r="B5" s="4">
        <v>284</v>
      </c>
      <c r="E5" s="4">
        <v>1516.62</v>
      </c>
      <c r="F5" s="4">
        <v>2162</v>
      </c>
    </row>
    <row r="6" spans="1:6" x14ac:dyDescent="0.25">
      <c r="A6" s="4">
        <v>132.09</v>
      </c>
      <c r="B6" s="4">
        <v>348</v>
      </c>
      <c r="E6" s="4">
        <v>1482.8</v>
      </c>
      <c r="F6" s="4">
        <v>2165</v>
      </c>
    </row>
    <row r="7" spans="1:6" x14ac:dyDescent="0.25">
      <c r="A7" s="4">
        <v>133.09</v>
      </c>
      <c r="B7" s="4">
        <v>359</v>
      </c>
      <c r="E7" s="4">
        <v>1715.91</v>
      </c>
      <c r="F7" s="4">
        <v>2429</v>
      </c>
    </row>
    <row r="8" spans="1:6" x14ac:dyDescent="0.25">
      <c r="A8" s="4">
        <v>99.53</v>
      </c>
      <c r="B8" s="4">
        <v>156</v>
      </c>
      <c r="E8" s="4">
        <v>1480.81</v>
      </c>
      <c r="F8" s="4">
        <v>1984</v>
      </c>
    </row>
    <row r="9" spans="1:6" x14ac:dyDescent="0.25">
      <c r="A9" s="4">
        <v>93.8</v>
      </c>
      <c r="B9" s="4">
        <v>128</v>
      </c>
      <c r="E9" s="4">
        <v>994.28</v>
      </c>
      <c r="F9" s="4">
        <v>1329</v>
      </c>
    </row>
    <row r="10" spans="1:6" x14ac:dyDescent="0.25">
      <c r="A10" s="4">
        <v>98.32</v>
      </c>
      <c r="B10" s="4">
        <v>157</v>
      </c>
      <c r="E10" s="4">
        <v>346.1</v>
      </c>
      <c r="F10" s="4">
        <v>382</v>
      </c>
    </row>
    <row r="11" spans="1:6" x14ac:dyDescent="0.25">
      <c r="A11" s="2"/>
      <c r="B11" s="3"/>
      <c r="E11" s="4">
        <v>85.62</v>
      </c>
      <c r="F11" s="4">
        <v>0</v>
      </c>
    </row>
    <row r="12" spans="1:6" x14ac:dyDescent="0.25">
      <c r="A12" s="2"/>
      <c r="B12" s="3"/>
      <c r="E12" s="4">
        <v>84.35</v>
      </c>
      <c r="F12" s="4">
        <v>0</v>
      </c>
    </row>
    <row r="13" spans="1:6" x14ac:dyDescent="0.25">
      <c r="A13" s="2"/>
      <c r="B13" s="3"/>
      <c r="E13" s="2"/>
      <c r="F13" s="3"/>
    </row>
    <row r="14" spans="1:6" x14ac:dyDescent="0.25">
      <c r="A14" s="5">
        <f>SUM(A5:A11)</f>
        <v>680.5</v>
      </c>
      <c r="B14" s="6">
        <f>SUM(B5:B11)</f>
        <v>1432</v>
      </c>
      <c r="E14" s="5">
        <f t="shared" ref="E14:F14" si="0">SUM(E5:E13)</f>
        <v>7706.49</v>
      </c>
      <c r="F14" s="6">
        <f t="shared" si="0"/>
        <v>10451</v>
      </c>
    </row>
    <row r="17" spans="1:11" x14ac:dyDescent="0.25">
      <c r="A17" s="11" t="s">
        <v>2</v>
      </c>
      <c r="B17" s="8">
        <f>A14/B14</f>
        <v>0.47520949720670391</v>
      </c>
      <c r="E17" s="11" t="s">
        <v>4</v>
      </c>
      <c r="F17" s="8">
        <f>E14/F14</f>
        <v>0.73739259401014257</v>
      </c>
    </row>
    <row r="18" spans="1:11" x14ac:dyDescent="0.25">
      <c r="K18">
        <f>24490*9.45*89.2/100</f>
        <v>206436.00599999996</v>
      </c>
    </row>
    <row r="20" spans="1:11" x14ac:dyDescent="0.25">
      <c r="A20" t="s">
        <v>7</v>
      </c>
      <c r="E20">
        <f>F14*9.45*89.2/100</f>
        <v>88095.65939999999</v>
      </c>
    </row>
    <row r="22" spans="1:11" x14ac:dyDescent="0.25">
      <c r="A22" t="s">
        <v>8</v>
      </c>
      <c r="E22" s="7">
        <f>(B14/A14)*B24</f>
        <v>429.70521675238791</v>
      </c>
      <c r="F22" t="s">
        <v>3</v>
      </c>
    </row>
    <row r="24" spans="1:11" x14ac:dyDescent="0.25">
      <c r="A24" t="s">
        <v>9</v>
      </c>
      <c r="B24">
        <v>204.2</v>
      </c>
      <c r="C24" t="s">
        <v>0</v>
      </c>
    </row>
    <row r="25" spans="1:11" x14ac:dyDescent="0.25">
      <c r="A25" t="s">
        <v>10</v>
      </c>
      <c r="B25">
        <v>880</v>
      </c>
      <c r="C25" t="s">
        <v>0</v>
      </c>
    </row>
    <row r="26" spans="1:11" x14ac:dyDescent="0.25">
      <c r="A26" t="s">
        <v>11</v>
      </c>
      <c r="B26">
        <v>177</v>
      </c>
      <c r="C26" t="s">
        <v>0</v>
      </c>
    </row>
  </sheetData>
  <mergeCells count="2">
    <mergeCell ref="A2:B2"/>
    <mergeCell ref="E2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Moda</dc:creator>
  <cp:lastModifiedBy>Alessandro Moda</cp:lastModifiedBy>
  <dcterms:created xsi:type="dcterms:W3CDTF">2017-11-27T10:41:35Z</dcterms:created>
  <dcterms:modified xsi:type="dcterms:W3CDTF">2017-11-27T11:05:17Z</dcterms:modified>
</cp:coreProperties>
</file>